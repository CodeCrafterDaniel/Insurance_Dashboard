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.fedotov/Downloads/"/>
    </mc:Choice>
  </mc:AlternateContent>
  <xr:revisionPtr revIDLastSave="0" documentId="8_{B6E711F7-B937-354A-B885-5B28DBEC90D0}" xr6:coauthVersionLast="47" xr6:coauthVersionMax="47" xr10:uidLastSave="{00000000-0000-0000-0000-000000000000}"/>
  <bookViews>
    <workbookView xWindow="0" yWindow="720" windowWidth="29400" windowHeight="18400" firstSheet="1" activeTab="6" xr2:uid="{045BD3D0-51C4-A54E-811E-28958778B205}"/>
  </bookViews>
  <sheets>
    <sheet name="Объем" sheetId="2" r:id="rId1"/>
    <sheet name="Рентабельность" sheetId="3" r:id="rId2"/>
    <sheet name="Структура страховых премий" sheetId="4" r:id="rId3"/>
    <sheet name="Страхования (Кол-во премий)" sheetId="6" r:id="rId4"/>
    <sheet name="Страхования (Сумма премий)" sheetId="7" r:id="rId5"/>
    <sheet name="Страхования (Кол-во выплат)" sheetId="8" r:id="rId6"/>
    <sheet name="Страхования (Сумма выплат)" sheetId="9" r:id="rId7"/>
    <sheet name="Лист5" sheetId="5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I9" i="6"/>
  <c r="I8" i="6"/>
  <c r="I7" i="6"/>
  <c r="I6" i="6"/>
  <c r="I5" i="6"/>
  <c r="I4" i="6"/>
  <c r="I3" i="6"/>
  <c r="I2" i="6"/>
  <c r="H10" i="6"/>
  <c r="H9" i="6"/>
  <c r="H8" i="6"/>
  <c r="H7" i="6"/>
  <c r="H6" i="6"/>
  <c r="H5" i="6"/>
  <c r="H4" i="6"/>
  <c r="H3" i="6"/>
  <c r="H2" i="6"/>
  <c r="G10" i="6"/>
  <c r="G9" i="6"/>
  <c r="G8" i="6"/>
  <c r="G7" i="6"/>
  <c r="G6" i="6"/>
  <c r="G5" i="6"/>
  <c r="G4" i="6"/>
  <c r="G3" i="6"/>
  <c r="G2" i="6"/>
  <c r="F10" i="6"/>
  <c r="F9" i="6"/>
  <c r="F8" i="6"/>
  <c r="F7" i="6"/>
  <c r="F6" i="6"/>
  <c r="F5" i="6"/>
  <c r="F4" i="6"/>
  <c r="F3" i="6"/>
  <c r="F2" i="6"/>
  <c r="E10" i="6"/>
  <c r="E9" i="6"/>
  <c r="E8" i="6"/>
  <c r="E7" i="6"/>
  <c r="E6" i="6"/>
  <c r="E5" i="6"/>
  <c r="E4" i="6"/>
  <c r="E3" i="6"/>
  <c r="E2" i="6"/>
  <c r="D10" i="6"/>
  <c r="D9" i="6"/>
  <c r="D8" i="6"/>
  <c r="D7" i="6"/>
  <c r="D6" i="6"/>
  <c r="D5" i="6"/>
  <c r="D4" i="6"/>
  <c r="D3" i="6"/>
  <c r="D2" i="6"/>
  <c r="C10" i="6"/>
  <c r="C9" i="6"/>
  <c r="C8" i="6"/>
  <c r="C7" i="6"/>
  <c r="C6" i="6"/>
  <c r="C5" i="6"/>
  <c r="C4" i="6"/>
  <c r="C3" i="6"/>
  <c r="C2" i="6"/>
  <c r="B10" i="6"/>
  <c r="B9" i="6"/>
  <c r="B8" i="6"/>
  <c r="B7" i="6"/>
  <c r="B6" i="6"/>
  <c r="B5" i="6"/>
  <c r="B4" i="6"/>
  <c r="B3" i="6"/>
  <c r="B2" i="6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D2" i="9" a="1"/>
  <c r="H2" i="9" a="1"/>
  <c r="F3" i="9" a="1"/>
  <c r="D4" i="9" a="1"/>
  <c r="H4" i="9" a="1"/>
  <c r="F5" i="9" a="1"/>
  <c r="D6" i="9" a="1"/>
  <c r="H6" i="9" a="1"/>
  <c r="F7" i="9" a="1"/>
  <c r="D8" i="9" a="1"/>
  <c r="H8" i="9" a="1"/>
  <c r="F9" i="9" a="1"/>
  <c r="D10" i="9" a="1"/>
  <c r="H10" i="9" a="1"/>
  <c r="G3" i="9" a="1"/>
  <c r="E4" i="9" a="1"/>
  <c r="I4" i="9" a="1"/>
  <c r="G5" i="9" a="1"/>
  <c r="E6" i="9" a="1"/>
  <c r="I6" i="9" a="1"/>
  <c r="G7" i="9" a="1"/>
  <c r="E8" i="9" a="1"/>
  <c r="I8" i="9" a="1"/>
  <c r="G9" i="9" a="1"/>
  <c r="E10" i="9" a="1"/>
  <c r="I10" i="9" a="1"/>
  <c r="D3" i="9" a="1"/>
  <c r="H3" i="9" a="1"/>
  <c r="F4" i="9" a="1"/>
  <c r="D5" i="9" a="1"/>
  <c r="H5" i="9" a="1"/>
  <c r="D7" i="9" a="1"/>
  <c r="F8" i="9" a="1"/>
  <c r="H9" i="9" a="1"/>
  <c r="I3" i="9" a="1"/>
  <c r="E5" i="9" a="1"/>
  <c r="E7" i="9" a="1"/>
  <c r="E9" i="9" a="1"/>
  <c r="I2" i="9" a="1"/>
  <c r="F6" i="9" a="1"/>
  <c r="H7" i="9" a="1"/>
  <c r="D9" i="9" a="1"/>
  <c r="F10" i="9" a="1"/>
  <c r="G2" i="9" a="1"/>
  <c r="G4" i="9" a="1"/>
  <c r="G6" i="9" a="1"/>
  <c r="G8" i="9" a="1"/>
  <c r="G10" i="9" a="1"/>
  <c r="E2" i="9" a="1"/>
  <c r="F2" i="9" a="1"/>
  <c r="E3" i="9" a="1"/>
  <c r="I5" i="9" a="1"/>
  <c r="I7" i="9" a="1"/>
  <c r="I9" i="9" a="1"/>
  <c r="C10" i="9" a="1"/>
  <c r="C9" i="9" a="1"/>
  <c r="C8" i="9" a="1"/>
  <c r="C7" i="9" a="1"/>
  <c r="C6" i="9" a="1"/>
  <c r="C5" i="9" a="1"/>
  <c r="C4" i="9" a="1"/>
  <c r="C3" i="9" a="1"/>
  <c r="C2" i="9" a="1"/>
  <c r="B10" i="9" a="1"/>
  <c r="B9" i="9" a="1"/>
  <c r="B8" i="9" a="1"/>
  <c r="B7" i="9" a="1"/>
  <c r="B6" i="9" a="1"/>
  <c r="B5" i="9" a="1"/>
  <c r="B4" i="9" a="1"/>
  <c r="B3" i="9" a="1"/>
  <c r="B2" i="9" a="1"/>
  <c r="D2" i="8" a="1"/>
  <c r="H2" i="8" a="1"/>
  <c r="F3" i="8" a="1"/>
  <c r="D4" i="8" a="1"/>
  <c r="H4" i="8" a="1"/>
  <c r="F5" i="8" a="1"/>
  <c r="D6" i="8" a="1"/>
  <c r="H6" i="8" a="1"/>
  <c r="F7" i="8" a="1"/>
  <c r="D8" i="8" a="1"/>
  <c r="H8" i="8" a="1"/>
  <c r="F9" i="8" a="1"/>
  <c r="D10" i="8" a="1"/>
  <c r="H10" i="8" a="1"/>
  <c r="H3" i="8" a="1"/>
  <c r="D5" i="8" a="1"/>
  <c r="F6" i="8" a="1"/>
  <c r="H7" i="8" a="1"/>
  <c r="D9" i="8" a="1"/>
  <c r="F10" i="8" a="1"/>
  <c r="E3" i="8" a="1"/>
  <c r="G4" i="8" a="1"/>
  <c r="E5" i="8" a="1"/>
  <c r="G6" i="8" a="1"/>
  <c r="I7" i="8" a="1"/>
  <c r="E9" i="8" a="1"/>
  <c r="I2" i="8" a="1"/>
  <c r="G10" i="8" a="1"/>
  <c r="E2" i="8" a="1"/>
  <c r="G3" i="8" a="1"/>
  <c r="E4" i="8" a="1"/>
  <c r="I4" i="8" a="1"/>
  <c r="G5" i="8" a="1"/>
  <c r="E6" i="8" a="1"/>
  <c r="I6" i="8" a="1"/>
  <c r="G7" i="8" a="1"/>
  <c r="E8" i="8" a="1"/>
  <c r="I8" i="8" a="1"/>
  <c r="G9" i="8" a="1"/>
  <c r="E10" i="8" a="1"/>
  <c r="I10" i="8" a="1"/>
  <c r="D3" i="8" a="1"/>
  <c r="F4" i="8" a="1"/>
  <c r="H5" i="8" a="1"/>
  <c r="D7" i="8" a="1"/>
  <c r="F8" i="8" a="1"/>
  <c r="H9" i="8" a="1"/>
  <c r="G2" i="8" a="1"/>
  <c r="I3" i="8" a="1"/>
  <c r="I5" i="8" a="1"/>
  <c r="E7" i="8" a="1"/>
  <c r="G8" i="8" a="1"/>
  <c r="I9" i="8" a="1"/>
  <c r="F2" i="8" a="1"/>
  <c r="C10" i="8" a="1"/>
  <c r="C9" i="8" a="1"/>
  <c r="C8" i="8" a="1"/>
  <c r="C7" i="8" a="1"/>
  <c r="C6" i="8" a="1"/>
  <c r="C5" i="8" a="1"/>
  <c r="C4" i="8" a="1"/>
  <c r="C3" i="8" a="1"/>
  <c r="C2" i="8" a="1"/>
  <c r="B10" i="8" a="1"/>
  <c r="B9" i="8" a="1"/>
  <c r="B8" i="8" a="1"/>
  <c r="B7" i="8" a="1"/>
  <c r="B6" i="8" a="1"/>
  <c r="B5" i="8" a="1"/>
  <c r="B4" i="8" a="1"/>
  <c r="B3" i="8" a="1"/>
  <c r="B2" i="8" a="1"/>
  <c r="D2" i="7" a="1"/>
  <c r="H2" i="7" a="1"/>
  <c r="F3" i="7" a="1"/>
  <c r="D4" i="7" a="1"/>
  <c r="H4" i="7" a="1"/>
  <c r="F5" i="7" a="1"/>
  <c r="D6" i="7" a="1"/>
  <c r="H6" i="7" a="1"/>
  <c r="F7" i="7" a="1"/>
  <c r="D8" i="7" a="1"/>
  <c r="H8" i="7" a="1"/>
  <c r="F9" i="7" a="1"/>
  <c r="D10" i="7" a="1"/>
  <c r="H10" i="7" a="1"/>
  <c r="G3" i="7" a="1"/>
  <c r="E4" i="7" a="1"/>
  <c r="I4" i="7" a="1"/>
  <c r="G5" i="7" a="1"/>
  <c r="E6" i="7" a="1"/>
  <c r="I6" i="7" a="1"/>
  <c r="G7" i="7" a="1"/>
  <c r="E8" i="7" a="1"/>
  <c r="I8" i="7" a="1"/>
  <c r="G9" i="7" a="1"/>
  <c r="E10" i="7" a="1"/>
  <c r="I10" i="7" a="1"/>
  <c r="F2" i="7" a="1"/>
  <c r="D3" i="7" a="1"/>
  <c r="H3" i="7" a="1"/>
  <c r="F4" i="7" a="1"/>
  <c r="H5" i="7" a="1"/>
  <c r="F6" i="7" a="1"/>
  <c r="H7" i="7" a="1"/>
  <c r="D9" i="7" a="1"/>
  <c r="F10" i="7" a="1"/>
  <c r="I9" i="7" a="1"/>
  <c r="I2" i="7" a="1"/>
  <c r="G10" i="7" a="1"/>
  <c r="E2" i="7" a="1"/>
  <c r="D5" i="7" a="1"/>
  <c r="D7" i="7" a="1"/>
  <c r="F8" i="7" a="1"/>
  <c r="H9" i="7" a="1"/>
  <c r="E9" i="7" a="1"/>
  <c r="G2" i="7" a="1"/>
  <c r="E3" i="7" a="1"/>
  <c r="I3" i="7" a="1"/>
  <c r="G4" i="7" a="1"/>
  <c r="E5" i="7" a="1"/>
  <c r="I5" i="7" a="1"/>
  <c r="G6" i="7" a="1"/>
  <c r="E7" i="7" a="1"/>
  <c r="I7" i="7" a="1"/>
  <c r="G8" i="7" a="1"/>
  <c r="C10" i="7" a="1"/>
  <c r="C9" i="7" a="1"/>
  <c r="C8" i="7" a="1"/>
  <c r="C7" i="7" a="1"/>
  <c r="C6" i="7" a="1"/>
  <c r="C5" i="7" a="1"/>
  <c r="C4" i="7" a="1"/>
  <c r="C3" i="7" a="1"/>
  <c r="C2" i="7" a="1"/>
  <c r="B10" i="7" a="1"/>
  <c r="B9" i="7" a="1"/>
  <c r="B8" i="7" a="1"/>
  <c r="B7" i="7" a="1"/>
  <c r="B6" i="7" a="1"/>
  <c r="B5" i="7" a="1"/>
  <c r="B4" i="7" a="1"/>
  <c r="B3" i="7" a="1"/>
  <c r="B2" i="7" a="1"/>
  <c r="I9" i="9" l="1"/>
  <c r="I7" i="9"/>
  <c r="I5" i="9"/>
  <c r="E3" i="9"/>
  <c r="F2" i="9"/>
  <c r="E2" i="9"/>
  <c r="G10" i="9"/>
  <c r="G8" i="9"/>
  <c r="G6" i="9"/>
  <c r="G4" i="9"/>
  <c r="G2" i="9"/>
  <c r="F10" i="9"/>
  <c r="D9" i="9"/>
  <c r="H7" i="9"/>
  <c r="F6" i="9"/>
  <c r="I2" i="9"/>
  <c r="E9" i="9"/>
  <c r="E7" i="9"/>
  <c r="E5" i="9"/>
  <c r="I3" i="9"/>
  <c r="H9" i="9"/>
  <c r="F8" i="9"/>
  <c r="D7" i="9"/>
  <c r="H5" i="9"/>
  <c r="D5" i="9"/>
  <c r="F4" i="9"/>
  <c r="H3" i="9"/>
  <c r="D3" i="9"/>
  <c r="I10" i="9"/>
  <c r="E10" i="9"/>
  <c r="G9" i="9"/>
  <c r="I8" i="9"/>
  <c r="E8" i="9"/>
  <c r="G7" i="9"/>
  <c r="I6" i="9"/>
  <c r="E6" i="9"/>
  <c r="G5" i="9"/>
  <c r="I4" i="9"/>
  <c r="E4" i="9"/>
  <c r="G3" i="9"/>
  <c r="H10" i="9"/>
  <c r="D10" i="9"/>
  <c r="F9" i="9"/>
  <c r="H8" i="9"/>
  <c r="D8" i="9"/>
  <c r="F7" i="9"/>
  <c r="H6" i="9"/>
  <c r="D6" i="9"/>
  <c r="F5" i="9"/>
  <c r="H4" i="9"/>
  <c r="D4" i="9"/>
  <c r="F3" i="9"/>
  <c r="H2" i="9"/>
  <c r="D2" i="9"/>
  <c r="C10" i="9"/>
  <c r="C9" i="9"/>
  <c r="C8" i="9"/>
  <c r="C7" i="9"/>
  <c r="C6" i="9"/>
  <c r="C5" i="9"/>
  <c r="C4" i="9"/>
  <c r="C3" i="9"/>
  <c r="C2" i="9"/>
  <c r="B10" i="9"/>
  <c r="B9" i="9"/>
  <c r="B8" i="9"/>
  <c r="B7" i="9"/>
  <c r="B6" i="9"/>
  <c r="B5" i="9"/>
  <c r="B4" i="9"/>
  <c r="B3" i="9"/>
  <c r="B2" i="9"/>
  <c r="F2" i="8"/>
  <c r="I9" i="8"/>
  <c r="G8" i="8"/>
  <c r="E7" i="8"/>
  <c r="I5" i="8"/>
  <c r="I3" i="8"/>
  <c r="G2" i="8"/>
  <c r="H9" i="8"/>
  <c r="F8" i="8"/>
  <c r="D7" i="8"/>
  <c r="H5" i="8"/>
  <c r="F4" i="8"/>
  <c r="D3" i="8"/>
  <c r="I10" i="8"/>
  <c r="E10" i="8"/>
  <c r="G9" i="8"/>
  <c r="I8" i="8"/>
  <c r="E8" i="8"/>
  <c r="G7" i="8"/>
  <c r="I6" i="8"/>
  <c r="E6" i="8"/>
  <c r="G5" i="8"/>
  <c r="I4" i="8"/>
  <c r="E4" i="8"/>
  <c r="G3" i="8"/>
  <c r="E2" i="8"/>
  <c r="G10" i="8"/>
  <c r="I2" i="8"/>
  <c r="E9" i="8"/>
  <c r="I7" i="8"/>
  <c r="G6" i="8"/>
  <c r="E5" i="8"/>
  <c r="G4" i="8"/>
  <c r="E3" i="8"/>
  <c r="F10" i="8"/>
  <c r="D9" i="8"/>
  <c r="H7" i="8"/>
  <c r="F6" i="8"/>
  <c r="D5" i="8"/>
  <c r="H3" i="8"/>
  <c r="H10" i="8"/>
  <c r="D10" i="8"/>
  <c r="F9" i="8"/>
  <c r="H8" i="8"/>
  <c r="D8" i="8"/>
  <c r="F7" i="8"/>
  <c r="H6" i="8"/>
  <c r="D6" i="8"/>
  <c r="F5" i="8"/>
  <c r="H4" i="8"/>
  <c r="D4" i="8"/>
  <c r="F3" i="8"/>
  <c r="H2" i="8"/>
  <c r="D2" i="8"/>
  <c r="C10" i="8"/>
  <c r="C9" i="8"/>
  <c r="C8" i="8"/>
  <c r="C7" i="8"/>
  <c r="C6" i="8"/>
  <c r="C5" i="8"/>
  <c r="C4" i="8"/>
  <c r="C3" i="8"/>
  <c r="C2" i="8"/>
  <c r="B10" i="8"/>
  <c r="B9" i="8"/>
  <c r="B8" i="8"/>
  <c r="B7" i="8"/>
  <c r="B6" i="8"/>
  <c r="B5" i="8"/>
  <c r="B4" i="8"/>
  <c r="B3" i="8"/>
  <c r="B2" i="8"/>
  <c r="G8" i="7"/>
  <c r="I7" i="7"/>
  <c r="E7" i="7"/>
  <c r="G6" i="7"/>
  <c r="I5" i="7"/>
  <c r="E5" i="7"/>
  <c r="G4" i="7"/>
  <c r="I3" i="7"/>
  <c r="E3" i="7"/>
  <c r="G2" i="7"/>
  <c r="E9" i="7"/>
  <c r="H9" i="7"/>
  <c r="F8" i="7"/>
  <c r="D7" i="7"/>
  <c r="D5" i="7"/>
  <c r="E2" i="7"/>
  <c r="G10" i="7"/>
  <c r="I2" i="7"/>
  <c r="I9" i="7"/>
  <c r="F10" i="7"/>
  <c r="D9" i="7"/>
  <c r="H7" i="7"/>
  <c r="F6" i="7"/>
  <c r="H5" i="7"/>
  <c r="F4" i="7"/>
  <c r="H3" i="7"/>
  <c r="D3" i="7"/>
  <c r="F2" i="7"/>
  <c r="I10" i="7"/>
  <c r="E10" i="7"/>
  <c r="G9" i="7"/>
  <c r="I8" i="7"/>
  <c r="E8" i="7"/>
  <c r="G7" i="7"/>
  <c r="I6" i="7"/>
  <c r="E6" i="7"/>
  <c r="G5" i="7"/>
  <c r="I4" i="7"/>
  <c r="E4" i="7"/>
  <c r="G3" i="7"/>
  <c r="H10" i="7"/>
  <c r="D10" i="7"/>
  <c r="F9" i="7"/>
  <c r="H8" i="7"/>
  <c r="D8" i="7"/>
  <c r="F7" i="7"/>
  <c r="H6" i="7"/>
  <c r="D6" i="7"/>
  <c r="F5" i="7"/>
  <c r="H4" i="7"/>
  <c r="D4" i="7"/>
  <c r="F3" i="7"/>
  <c r="H2" i="7"/>
  <c r="D2" i="7"/>
  <c r="C10" i="7"/>
  <c r="C9" i="7"/>
  <c r="C8" i="7"/>
  <c r="C7" i="7"/>
  <c r="C6" i="7"/>
  <c r="C5" i="7"/>
  <c r="C4" i="7"/>
  <c r="C3" i="7"/>
  <c r="C2" i="7"/>
  <c r="B10" i="7"/>
  <c r="B9" i="7"/>
  <c r="B8" i="7"/>
  <c r="B7" i="7"/>
  <c r="B6" i="7"/>
  <c r="B5" i="7"/>
  <c r="B4" i="7"/>
  <c r="B3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Басаргина Юлия Александровна</author>
  </authors>
  <commentList>
    <comment ref="F60" authorId="0" shapeId="0" xr:uid="{612C5DC7-28FF-4D46-B4C6-0AFC42119AF9}">
      <text>
        <r>
          <rPr>
            <i/>
            <sz val="8"/>
            <color indexed="81"/>
            <rFont val="Tahoma"/>
            <family val="2"/>
            <charset val="204"/>
          </rPr>
          <t xml:space="preserve">по информации на 24.09.2021
</t>
        </r>
      </text>
    </comment>
    <comment ref="U78" authorId="0" shapeId="0" xr:uid="{BA4F5466-0C1E-5F46-936F-B3006E1880E7}">
      <text>
        <r>
          <rPr>
            <b/>
            <sz val="9"/>
            <color indexed="81"/>
            <rFont val="Tahoma"/>
            <family val="2"/>
            <charset val="204"/>
          </rPr>
          <t>До отчетного периода "31.12.2021" указан показатель "Страховые премии по договорам страхования, заключенным посредством сети "Интернет"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A86" authorId="0" shapeId="0" xr:uid="{24D04DC5-50FA-2644-BC26-DEBEC862D8C9}">
      <text>
        <r>
          <rPr>
            <sz val="9"/>
            <color indexed="81"/>
            <rFont val="Tahoma"/>
            <family val="2"/>
            <charset val="204"/>
          </rPr>
          <t xml:space="preserve">данные актуализированы 
</t>
        </r>
      </text>
    </comment>
    <comment ref="U145" authorId="0" shapeId="0" xr:uid="{4C77703D-901A-DE42-8EA8-E7920F76FD4E}">
      <text>
        <r>
          <rPr>
            <b/>
            <sz val="9"/>
            <color rgb="FF000000"/>
            <rFont val="Tahoma"/>
            <family val="2"/>
            <charset val="204"/>
          </rPr>
          <t>До отчетного периода "31.12.2021" показатель включал "Государственные и муниципальные ценные бумаги"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<sst xmlns="http://schemas.openxmlformats.org/spreadsheetml/2006/main" count="1213" uniqueCount="120">
  <si>
    <t>Премии (за квартал)</t>
  </si>
  <si>
    <t>Темп прироста премий, г/г (правая шкала)</t>
  </si>
  <si>
    <t>Темп прироста выплат г/г (правая шкала)</t>
  </si>
  <si>
    <t>I кв. 2020</t>
  </si>
  <si>
    <t>II кв. 2020</t>
  </si>
  <si>
    <t>III кв. 2020</t>
  </si>
  <si>
    <t>IV кв. 2020</t>
  </si>
  <si>
    <t>I кв. 2021</t>
  </si>
  <si>
    <t>II кв. 2021</t>
  </si>
  <si>
    <t>III кв. 2021</t>
  </si>
  <si>
    <t>IV кв. 2021</t>
  </si>
  <si>
    <t>I кв. 2022</t>
  </si>
  <si>
    <t>II кв. 2022</t>
  </si>
  <si>
    <t>III кв. 2022</t>
  </si>
  <si>
    <t>IV кв. 2022</t>
  </si>
  <si>
    <t>I кв. 2023</t>
  </si>
  <si>
    <t>II кв. 2023</t>
  </si>
  <si>
    <t>III кв. 2023</t>
  </si>
  <si>
    <t>IV кв. 2023</t>
  </si>
  <si>
    <t>I кв. 2024</t>
  </si>
  <si>
    <t>II кв. 2024</t>
  </si>
  <si>
    <t>III кв. 2024</t>
  </si>
  <si>
    <t>IV кв. 2024</t>
  </si>
  <si>
    <t>I кв. 2025</t>
  </si>
  <si>
    <t>II кв. 2025</t>
  </si>
  <si>
    <t>III кв. 2025</t>
  </si>
  <si>
    <t>IV кв. 2025</t>
  </si>
  <si>
    <t>Дата</t>
  </si>
  <si>
    <t>Выплаты (за квартал)</t>
  </si>
  <si>
    <t>Год</t>
  </si>
  <si>
    <t>ROE</t>
  </si>
  <si>
    <t>ROA</t>
  </si>
  <si>
    <t>Страховые брокеры</t>
  </si>
  <si>
    <t>Кредитные организации</t>
  </si>
  <si>
    <t>Без участия посредников</t>
  </si>
  <si>
    <t>Прочие посредники</t>
  </si>
  <si>
    <t>Ключевые показатели деятельности страховщиков</t>
  </si>
  <si>
    <t>Единица измерения</t>
  </si>
  <si>
    <t>Количество субъектов страхового дела, в том числе:</t>
  </si>
  <si>
    <t>ед.</t>
  </si>
  <si>
    <t xml:space="preserve">     количество страховых организаций</t>
  </si>
  <si>
    <t xml:space="preserve">     количество обществ взаимного страхования</t>
  </si>
  <si>
    <t xml:space="preserve">     количество страховых брокеров</t>
  </si>
  <si>
    <r>
      <t>Страховые премии (взносы) по договорам страхования</t>
    </r>
    <r>
      <rPr>
        <b/>
        <vertAlign val="superscript"/>
        <sz val="9"/>
        <rFont val="Calibri"/>
        <family val="2"/>
        <charset val="204"/>
        <scheme val="minor"/>
      </rPr>
      <t>1</t>
    </r>
    <r>
      <rPr>
        <b/>
        <sz val="9"/>
        <rFont val="Calibri"/>
        <family val="2"/>
        <charset val="204"/>
        <scheme val="minor"/>
      </rPr>
      <t xml:space="preserve">, в том числе по видам страхования: </t>
    </r>
  </si>
  <si>
    <t>млн руб.</t>
  </si>
  <si>
    <t xml:space="preserve">    добровольное страхование жизни, в том числе:</t>
  </si>
  <si>
    <t xml:space="preserve">       инвестиционное страхование жизни</t>
  </si>
  <si>
    <t>nd</t>
  </si>
  <si>
    <t xml:space="preserve">       кредитное страхование жизни</t>
  </si>
  <si>
    <t xml:space="preserve">       накопительное страхование жизни</t>
  </si>
  <si>
    <t xml:space="preserve">       рисковое страхование жизни</t>
  </si>
  <si>
    <t xml:space="preserve">       прочее страхование жизни</t>
  </si>
  <si>
    <t xml:space="preserve">       пенсионное страхование</t>
  </si>
  <si>
    <t xml:space="preserve">   добровольное страхование от несчастных случаев и болезней</t>
  </si>
  <si>
    <t xml:space="preserve">   добровольное медицинское страхование</t>
  </si>
  <si>
    <t xml:space="preserve">   добровольное страхование средств наземного транспорта (кроме средств железнодорожного транспорта)</t>
  </si>
  <si>
    <t xml:space="preserve">   добровольное страхование имущества юридических лиц (кроме транспортных средств, грузов и сельскохозяйственного страхования)</t>
  </si>
  <si>
    <t xml:space="preserve">   добровольное страхование имущества граждан (кроме транспортных средств, грузов и сельскохозяйственного страхования)</t>
  </si>
  <si>
    <t xml:space="preserve">   обязательное страхование гражданской ответственности владельцев транспортных средств</t>
  </si>
  <si>
    <t xml:space="preserve">   прочие виды</t>
  </si>
  <si>
    <t>Страховые премии по договорам страхования, заключенным с физическими лицами</t>
  </si>
  <si>
    <t>Страховые премии по договорам страхования, заключенным с индивидуальными предпринимателями и юридическими лицами</t>
  </si>
  <si>
    <t xml:space="preserve">Количество договоров страхования, заключенные в отчетном периоде, в том числе по видам страхования: </t>
  </si>
  <si>
    <t xml:space="preserve"> Количество заключенных договоров страхования с физическими лицами</t>
  </si>
  <si>
    <t>Количество заключенных договоров страхования с индивидуальными предпринимателями и юридическими лицами</t>
  </si>
  <si>
    <t xml:space="preserve">Средняя страховая премия, в том числе по видам страхования: </t>
  </si>
  <si>
    <t>тыс руб.</t>
  </si>
  <si>
    <t>Средняя страховая премия по договорам страхования, заключенным с физическими лицами</t>
  </si>
  <si>
    <t>Средняя страховая премия по договорам страхования, заключенным с индивидуальными предпринимателями и юридическими лицами</t>
  </si>
  <si>
    <t>Страховые премии по договорам исходящего перестрахования, в том числе:</t>
  </si>
  <si>
    <t xml:space="preserve">     на территории Российской Федерации</t>
  </si>
  <si>
    <t xml:space="preserve">     за пределы Российской Федерации</t>
  </si>
  <si>
    <t>Страховые премии по договорам входящего перестрахования , в том числе</t>
  </si>
  <si>
    <t xml:space="preserve">       на территории Российской Федерации</t>
  </si>
  <si>
    <t xml:space="preserve">       из-за пределов Российской Федерации</t>
  </si>
  <si>
    <t>Страховые премии по договорам страхования, заключенным без участия посредников (кроме договоров страхования, заключенных путем обмена информацией в электронной форме)</t>
  </si>
  <si>
    <t>Страховые премии по договорам страхования, заключенным при участии посредников (кроме договоров страхования, заключенных путем обмена информацией в электронной форме), в том числе:</t>
  </si>
  <si>
    <t xml:space="preserve">заключенным при участии посредников   ̶   кредитных организаций  </t>
  </si>
  <si>
    <t>заключенным при участии посредников   ̶   физических лиц (в том числе индивидуальных предпринимателей)</t>
  </si>
  <si>
    <t>заключенным при участии посредников   ̶   юридических лиц, основным видом экономической деятельности которых является деятельность страховых агентов</t>
  </si>
  <si>
    <t>заключенным при участии посредников   ̶   организаций, осуществляющих деятельность по торговле транспортными средствами</t>
  </si>
  <si>
    <t xml:space="preserve">заключенным при участии посредников   ̶   страховых брокеров </t>
  </si>
  <si>
    <t>заключенным при участии посредников   ̶   прочих посредников (включая других юридических лиц)</t>
  </si>
  <si>
    <t>Вознаграждения посредникам  (кроме договоров страхования, заключенных путем обмена информацией в электронной форме),  в том числе:</t>
  </si>
  <si>
    <t xml:space="preserve">      вознаграждения посредникам   ̶  кредитным организациям,  в том числе:</t>
  </si>
  <si>
    <t>вознаграждения посредникам   ̶   физическим лицам (в том числе индивидуальных предпринимателей)</t>
  </si>
  <si>
    <t>вознаграждения посредникам   ̶   юридических лиц, основным видом экономической деятельности которых является деятельность страховых агентов</t>
  </si>
  <si>
    <t>вознаграждения посредникам   ̶   организациям, осуществляющих деятельность по торговле транспортными средствами</t>
  </si>
  <si>
    <t xml:space="preserve">вознаграждени посредникам   ̶    страховым брокерам </t>
  </si>
  <si>
    <t>вознаграждения посредникам   ̶    прочим посредникам (включая других юридических лиц)</t>
  </si>
  <si>
    <r>
      <t>Страховые премии по договорам страхования, заключенным без участия посредников (по договорам страхования, заключенным путем обмена информацией в электронной форме)</t>
    </r>
    <r>
      <rPr>
        <b/>
        <vertAlign val="superscript"/>
        <sz val="8"/>
        <rFont val="Calibri"/>
        <family val="2"/>
        <charset val="204"/>
        <scheme val="minor"/>
      </rPr>
      <t>2</t>
    </r>
  </si>
  <si>
    <r>
      <t>Страховые премии по договорам страхования, заключенным при участии посредников  (по договорам страхования, заключенным путем обмена информацией в электронной форме)</t>
    </r>
    <r>
      <rPr>
        <b/>
        <vertAlign val="superscript"/>
        <sz val="8"/>
        <rFont val="Calibri"/>
        <family val="2"/>
        <charset val="204"/>
        <scheme val="minor"/>
      </rPr>
      <t>2</t>
    </r>
  </si>
  <si>
    <t>Вознаграждения посредникам (по договорам страхования, заключенным путем обмена информацией в электронной форме), в том числе:</t>
  </si>
  <si>
    <t>вознаграждения посредникам   ̶  кредитным организациям,  в том числе:</t>
  </si>
  <si>
    <r>
      <t>Выплаты по договорам страхования</t>
    </r>
    <r>
      <rPr>
        <b/>
        <vertAlign val="superscript"/>
        <sz val="9"/>
        <rFont val="Calibri"/>
        <family val="2"/>
        <charset val="204"/>
        <scheme val="minor"/>
      </rPr>
      <t>3</t>
    </r>
    <r>
      <rPr>
        <b/>
        <sz val="9"/>
        <rFont val="Calibri"/>
        <family val="2"/>
        <charset val="204"/>
        <scheme val="minor"/>
      </rPr>
      <t xml:space="preserve">,  в том числе по видам страхования: </t>
    </r>
  </si>
  <si>
    <r>
      <t>Выплаты по договорам страхования страхования, заключенным с физическими лицами</t>
    </r>
    <r>
      <rPr>
        <vertAlign val="superscript"/>
        <sz val="8"/>
        <rFont val="Calibri"/>
        <family val="2"/>
        <charset val="204"/>
        <scheme val="minor"/>
      </rPr>
      <t>4</t>
    </r>
  </si>
  <si>
    <r>
      <t>Выплаты по договорам страхования, заключенным с индивидуальными предпринимателями и юридическими лицами</t>
    </r>
    <r>
      <rPr>
        <vertAlign val="superscript"/>
        <sz val="8"/>
        <rFont val="Calibri"/>
        <family val="2"/>
        <charset val="204"/>
        <scheme val="minor"/>
      </rPr>
      <t>4</t>
    </r>
  </si>
  <si>
    <r>
      <t>Количество выплат</t>
    </r>
    <r>
      <rPr>
        <b/>
        <vertAlign val="superscript"/>
        <sz val="9"/>
        <rFont val="Calibri"/>
        <family val="2"/>
        <charset val="204"/>
        <scheme val="minor"/>
      </rPr>
      <t>4</t>
    </r>
    <r>
      <rPr>
        <b/>
        <sz val="9"/>
        <rFont val="Calibri"/>
        <family val="2"/>
        <charset val="204"/>
        <scheme val="minor"/>
      </rPr>
      <t xml:space="preserve">, в том числе по видам страхования: </t>
    </r>
  </si>
  <si>
    <r>
      <t xml:space="preserve">    добровольное страхование жизни</t>
    </r>
    <r>
      <rPr>
        <vertAlign val="superscript"/>
        <sz val="8"/>
        <rFont val="Calibri"/>
        <family val="2"/>
        <charset val="204"/>
        <scheme val="minor"/>
      </rPr>
      <t>4</t>
    </r>
    <r>
      <rPr>
        <sz val="8"/>
        <rFont val="Calibri"/>
        <family val="2"/>
        <charset val="204"/>
        <scheme val="minor"/>
      </rPr>
      <t>, в том числе:</t>
    </r>
  </si>
  <si>
    <r>
      <t xml:space="preserve">       пенсионное страхование</t>
    </r>
    <r>
      <rPr>
        <vertAlign val="superscript"/>
        <sz val="8"/>
        <rFont val="Calibri"/>
        <family val="2"/>
        <charset val="204"/>
        <scheme val="minor"/>
      </rPr>
      <t>4</t>
    </r>
  </si>
  <si>
    <t xml:space="preserve">   добровольное страхование от несчастных случаев и болезней  </t>
  </si>
  <si>
    <t xml:space="preserve">   добровольное медицинское страхование  </t>
  </si>
  <si>
    <t xml:space="preserve">   добровольное страхование средств наземного транспорта (кроме средств железнодорожного транспорта) </t>
  </si>
  <si>
    <r>
      <t xml:space="preserve">   обязательное страхование гражданской ответственности владельцев транспортных средств</t>
    </r>
    <r>
      <rPr>
        <vertAlign val="superscript"/>
        <sz val="8"/>
        <rFont val="Calibri"/>
        <family val="2"/>
        <charset val="204"/>
        <scheme val="minor"/>
      </rPr>
      <t>5</t>
    </r>
  </si>
  <si>
    <r>
      <t>Количество  выплат  по договорам страхования, заключенным с физическими лицами</t>
    </r>
    <r>
      <rPr>
        <vertAlign val="superscript"/>
        <sz val="8"/>
        <rFont val="Calibri"/>
        <family val="2"/>
        <charset val="204"/>
        <scheme val="minor"/>
      </rPr>
      <t>4</t>
    </r>
  </si>
  <si>
    <r>
      <t>Количество выплат  по договорам страхования, заключенным с индивидуальными предпринимателями и юридическими лицами</t>
    </r>
    <r>
      <rPr>
        <vertAlign val="superscript"/>
        <sz val="8"/>
        <rFont val="Calibri"/>
        <family val="2"/>
        <charset val="204"/>
        <scheme val="minor"/>
      </rPr>
      <t>4</t>
    </r>
  </si>
  <si>
    <r>
      <t xml:space="preserve">Средняя выплата, </t>
    </r>
    <r>
      <rPr>
        <b/>
        <sz val="8"/>
        <rFont val="Calibri"/>
        <family val="2"/>
        <charset val="204"/>
        <scheme val="minor"/>
      </rPr>
      <t xml:space="preserve"> </t>
    </r>
    <r>
      <rPr>
        <b/>
        <sz val="9"/>
        <rFont val="Calibri"/>
        <family val="2"/>
        <charset val="204"/>
        <scheme val="minor"/>
      </rPr>
      <t>в том числе по видам страхования:</t>
    </r>
  </si>
  <si>
    <t>Средняя выплата по договорам страхования, заключенным с физическими лицами</t>
  </si>
  <si>
    <t>Средняя выплата по договорам страхования, заключенным с индивидуальными предпринимателями и юридическими лицами</t>
  </si>
  <si>
    <t>Прочие виды</t>
  </si>
  <si>
    <t>Физические лица и ИП</t>
  </si>
  <si>
    <t>Юридические лица</t>
  </si>
  <si>
    <t>Организации, торгующие ТС</t>
  </si>
  <si>
    <t>Страхование жизни</t>
  </si>
  <si>
    <t>Страхование от НС и болезней</t>
  </si>
  <si>
    <t>ДМС</t>
  </si>
  <si>
    <t>Автострахование (КАСКО)</t>
  </si>
  <si>
    <t>Имущество юрлиц</t>
  </si>
  <si>
    <t>Имущество граждан (ФЛ)</t>
  </si>
  <si>
    <t>ОСАГО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</si>
</sst>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81" formatCode="#,##0.0"/>
  </numFmts>
  <fonts count="22" x14ac:knownFonts="1"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vertAlign val="superscript"/>
      <sz val="9"/>
      <name val="Calibri"/>
      <family val="2"/>
      <charset val="204"/>
      <scheme val="minor"/>
    </font>
    <font>
      <b/>
      <vertAlign val="superscript"/>
      <sz val="8"/>
      <name val="Calibri"/>
      <family val="2"/>
      <charset val="204"/>
      <scheme val="minor"/>
    </font>
    <font>
      <vertAlign val="superscript"/>
      <sz val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i/>
      <sz val="7"/>
      <name val="Gadugi"/>
      <family val="2"/>
    </font>
    <font>
      <i/>
      <sz val="8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12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0" fontId="0" fillId="0" borderId="0" xfId="0" applyAlignment="1"/>
    <xf numFmtId="0" fontId="4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readingOrder="1"/>
    </xf>
    <xf numFmtId="14" fontId="2" fillId="2" borderId="1" xfId="1" applyNumberFormat="1" applyFont="1" applyFill="1" applyBorder="1" applyAlignment="1">
      <alignment horizontal="center" vertical="center"/>
    </xf>
    <xf numFmtId="14" fontId="5" fillId="2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 readingOrder="1"/>
    </xf>
    <xf numFmtId="0" fontId="2" fillId="3" borderId="1" xfId="1" applyFont="1" applyFill="1" applyBorder="1" applyAlignment="1">
      <alignment horizontal="center" vertical="center" readingOrder="1"/>
    </xf>
    <xf numFmtId="0" fontId="2" fillId="3" borderId="1" xfId="1" applyFont="1" applyFill="1" applyBorder="1" applyAlignment="1">
      <alignment horizontal="right" vertical="center" readingOrder="1"/>
    </xf>
    <xf numFmtId="0" fontId="5" fillId="3" borderId="1" xfId="1" applyFont="1" applyFill="1" applyBorder="1" applyAlignment="1">
      <alignment horizontal="right" vertical="center" readingOrder="1"/>
    </xf>
    <xf numFmtId="0" fontId="2" fillId="2" borderId="1" xfId="1" applyFont="1" applyFill="1" applyBorder="1" applyAlignment="1">
      <alignment horizontal="left" vertical="center" readingOrder="1"/>
    </xf>
    <xf numFmtId="0" fontId="2" fillId="2" borderId="1" xfId="1" applyFont="1" applyFill="1" applyBorder="1" applyAlignment="1">
      <alignment horizontal="right" vertical="center" readingOrder="1"/>
    </xf>
    <xf numFmtId="0" fontId="5" fillId="2" borderId="1" xfId="1" applyFont="1" applyFill="1" applyBorder="1" applyAlignment="1">
      <alignment horizontal="right" vertical="center" readingOrder="1"/>
    </xf>
    <xf numFmtId="181" fontId="2" fillId="3" borderId="1" xfId="1" applyNumberFormat="1" applyFont="1" applyFill="1" applyBorder="1" applyAlignment="1">
      <alignment horizontal="right" vertical="center" readingOrder="1"/>
    </xf>
    <xf numFmtId="181" fontId="5" fillId="3" borderId="1" xfId="1" applyNumberFormat="1" applyFont="1" applyFill="1" applyBorder="1" applyAlignment="1">
      <alignment horizontal="right" vertical="center" readingOrder="1"/>
    </xf>
    <xf numFmtId="0" fontId="2" fillId="4" borderId="1" xfId="1" applyFont="1" applyFill="1" applyBorder="1" applyAlignment="1">
      <alignment horizontal="left" vertical="center" readingOrder="1"/>
    </xf>
    <xf numFmtId="0" fontId="2" fillId="4" borderId="1" xfId="1" applyFont="1" applyFill="1" applyBorder="1" applyAlignment="1">
      <alignment horizontal="center" vertical="center" readingOrder="1"/>
    </xf>
    <xf numFmtId="181" fontId="2" fillId="4" borderId="1" xfId="1" applyNumberFormat="1" applyFont="1" applyFill="1" applyBorder="1" applyAlignment="1">
      <alignment horizontal="right" vertical="center" readingOrder="1"/>
    </xf>
    <xf numFmtId="181" fontId="5" fillId="4" borderId="1" xfId="1" applyNumberFormat="1" applyFont="1" applyFill="1" applyBorder="1" applyAlignment="1">
      <alignment horizontal="right" vertical="center" readingOrder="1"/>
    </xf>
    <xf numFmtId="3" fontId="2" fillId="2" borderId="1" xfId="1" applyNumberFormat="1" applyFont="1" applyFill="1" applyBorder="1" applyAlignment="1">
      <alignment horizontal="right" vertical="center" readingOrder="1"/>
    </xf>
    <xf numFmtId="3" fontId="5" fillId="2" borderId="1" xfId="1" applyNumberFormat="1" applyFont="1" applyFill="1" applyBorder="1" applyAlignment="1">
      <alignment horizontal="right" vertical="center" readingOrder="1"/>
    </xf>
    <xf numFmtId="181" fontId="2" fillId="2" borderId="1" xfId="1" applyNumberFormat="1" applyFont="1" applyFill="1" applyBorder="1" applyAlignment="1">
      <alignment horizontal="right" vertical="center" readingOrder="1"/>
    </xf>
    <xf numFmtId="181" fontId="5" fillId="2" borderId="1" xfId="1" applyNumberFormat="1" applyFont="1" applyFill="1" applyBorder="1" applyAlignment="1">
      <alignment horizontal="right" vertical="center" readingOrder="1"/>
    </xf>
    <xf numFmtId="0" fontId="2" fillId="3" borderId="1" xfId="1" applyFont="1" applyFill="1" applyBorder="1" applyAlignment="1">
      <alignment horizontal="left" vertical="center" readingOrder="1"/>
    </xf>
    <xf numFmtId="3" fontId="2" fillId="3" borderId="1" xfId="1" applyNumberFormat="1" applyFont="1" applyFill="1" applyBorder="1" applyAlignment="1">
      <alignment horizontal="right" vertical="center" readingOrder="1"/>
    </xf>
    <xf numFmtId="3" fontId="5" fillId="3" borderId="1" xfId="1" applyNumberFormat="1" applyFont="1" applyFill="1" applyBorder="1" applyAlignment="1">
      <alignment horizontal="right" vertical="center" readingOrder="1"/>
    </xf>
    <xf numFmtId="3" fontId="2" fillId="4" borderId="1" xfId="1" applyNumberFormat="1" applyFont="1" applyFill="1" applyBorder="1" applyAlignment="1">
      <alignment horizontal="right" vertical="center" readingOrder="1"/>
    </xf>
    <xf numFmtId="3" fontId="5" fillId="4" borderId="1" xfId="1" applyNumberFormat="1" applyFont="1" applyFill="1" applyBorder="1" applyAlignment="1">
      <alignment horizontal="right" vertical="center" readingOrder="1"/>
    </xf>
    <xf numFmtId="0" fontId="5" fillId="3" borderId="1" xfId="1" applyFont="1" applyFill="1" applyBorder="1" applyAlignment="1">
      <alignment horizontal="left" vertical="center" readingOrder="1"/>
    </xf>
    <xf numFmtId="181" fontId="2" fillId="3" borderId="1" xfId="1" applyNumberFormat="1" applyFont="1" applyFill="1" applyBorder="1" applyAlignment="1">
      <alignment horizontal="right" vertical="center" readingOrder="1"/>
    </xf>
    <xf numFmtId="181" fontId="5" fillId="3" borderId="1" xfId="1" applyNumberFormat="1" applyFont="1" applyFill="1" applyBorder="1" applyAlignment="1">
      <alignment horizontal="right" vertical="center" readingOrder="1"/>
    </xf>
    <xf numFmtId="0" fontId="2" fillId="3" borderId="2" xfId="1" applyFont="1" applyFill="1" applyBorder="1" applyAlignment="1">
      <alignment horizontal="left" vertical="center" readingOrder="1"/>
    </xf>
    <xf numFmtId="0" fontId="2" fillId="3" borderId="2" xfId="1" applyFont="1" applyFill="1" applyBorder="1" applyAlignment="1">
      <alignment horizontal="center" vertical="center" readingOrder="1"/>
    </xf>
    <xf numFmtId="181" fontId="2" fillId="3" borderId="2" xfId="1" applyNumberFormat="1" applyFont="1" applyFill="1" applyBorder="1" applyAlignment="1">
      <alignment horizontal="right" vertical="center" readingOrder="1"/>
    </xf>
    <xf numFmtId="181" fontId="5" fillId="3" borderId="2" xfId="1" applyNumberFormat="1" applyFont="1" applyFill="1" applyBorder="1" applyAlignment="1">
      <alignment horizontal="right" vertical="center" readingOrder="1"/>
    </xf>
    <xf numFmtId="0" fontId="6" fillId="0" borderId="0" xfId="1" applyFont="1" applyFill="1" applyBorder="1" applyAlignment="1">
      <alignment horizontal="left" vertical="center" readingOrder="1"/>
    </xf>
    <xf numFmtId="0" fontId="2" fillId="0" borderId="0" xfId="1" applyFont="1" applyFill="1" applyBorder="1" applyAlignment="1">
      <alignment horizontal="center" vertical="center" readingOrder="1"/>
    </xf>
    <xf numFmtId="181" fontId="2" fillId="0" borderId="0" xfId="1" applyNumberFormat="1" applyFont="1" applyFill="1" applyBorder="1" applyAlignment="1">
      <alignment horizontal="right" vertical="center" readingOrder="1"/>
    </xf>
    <xf numFmtId="181" fontId="5" fillId="0" borderId="0" xfId="1" applyNumberFormat="1" applyFont="1" applyFill="1" applyBorder="1" applyAlignment="1">
      <alignment horizontal="right" vertical="center" readingOrder="1"/>
    </xf>
    <xf numFmtId="0" fontId="0" fillId="0" borderId="0" xfId="0" applyFill="1" applyBorder="1" applyAlignment="1"/>
    <xf numFmtId="0" fontId="2" fillId="0" borderId="0" xfId="1" applyFont="1" applyFill="1" applyBorder="1" applyAlignment="1">
      <alignment horizontal="left" vertical="center" readingOrder="1"/>
    </xf>
    <xf numFmtId="181" fontId="2" fillId="0" borderId="0" xfId="1" applyNumberFormat="1" applyFont="1" applyFill="1" applyBorder="1" applyAlignment="1">
      <alignment horizontal="right" readingOrder="1"/>
    </xf>
    <xf numFmtId="181" fontId="5" fillId="0" borderId="0" xfId="1" applyNumberFormat="1" applyFont="1" applyFill="1" applyBorder="1" applyAlignment="1">
      <alignment horizontal="right" readingOrder="1"/>
    </xf>
    <xf numFmtId="181" fontId="10" fillId="0" borderId="0" xfId="1" applyNumberFormat="1" applyFont="1" applyFill="1" applyBorder="1" applyAlignment="1">
      <alignment horizontal="right" vertical="center" readingOrder="1"/>
    </xf>
    <xf numFmtId="181" fontId="11" fillId="0" borderId="0" xfId="1" applyNumberFormat="1" applyFont="1" applyFill="1" applyBorder="1" applyAlignment="1">
      <alignment horizontal="right" vertical="center" readingOrder="1"/>
    </xf>
    <xf numFmtId="0" fontId="5" fillId="0" borderId="0" xfId="1" applyFont="1" applyFill="1" applyBorder="1" applyAlignment="1">
      <alignment horizontal="left" vertical="center" readingOrder="1"/>
    </xf>
    <xf numFmtId="0" fontId="2" fillId="0" borderId="0" xfId="1" applyFont="1" applyFill="1" applyBorder="1" applyAlignment="1">
      <alignment horizontal="center" vertical="center" readingOrder="1"/>
    </xf>
    <xf numFmtId="0" fontId="2" fillId="0" borderId="0" xfId="1" applyFont="1" applyFill="1" applyBorder="1" applyAlignment="1"/>
    <xf numFmtId="0" fontId="5" fillId="0" borderId="0" xfId="1" applyFont="1" applyFill="1" applyBorder="1" applyAlignment="1"/>
    <xf numFmtId="0" fontId="12" fillId="0" borderId="0" xfId="1" applyFont="1" applyFill="1" applyBorder="1" applyAlignment="1"/>
    <xf numFmtId="0" fontId="13" fillId="0" borderId="0" xfId="1" applyFont="1" applyFill="1" applyBorder="1" applyAlignment="1"/>
    <xf numFmtId="0" fontId="14" fillId="0" borderId="0" xfId="1" applyFont="1" applyFill="1" applyBorder="1" applyAlignment="1">
      <alignment horizontal="right" vertical="center"/>
    </xf>
    <xf numFmtId="14" fontId="14" fillId="0" borderId="0" xfId="1" applyNumberFormat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wrapText="1"/>
    </xf>
    <xf numFmtId="0" fontId="21" fillId="0" borderId="0" xfId="0" applyFont="1" applyAlignment="1">
      <alignment wrapText="1"/>
    </xf>
    <xf numFmtId="3" fontId="21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168" fontId="0" fillId="0" borderId="0" xfId="0" applyNumberFormat="1" applyAlignment="1"/>
  </cellXfs>
  <cellStyles count="2">
    <cellStyle name="Обычный" xfId="0" builtinId="0"/>
    <cellStyle name="Обычный 2" xfId="1" xr:uid="{1DC7473A-7E63-154D-A493-63DE8B326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04F9-9D3D-7B4C-B13C-489AABF081C3}">
  <dimension ref="A1:E25"/>
  <sheetViews>
    <sheetView workbookViewId="0">
      <selection activeCell="E12" sqref="E12"/>
    </sheetView>
  </sheetViews>
  <sheetFormatPr baseColWidth="10" defaultRowHeight="16" x14ac:dyDescent="0.2"/>
  <cols>
    <col min="2" max="3" width="23" bestFit="1" customWidth="1"/>
    <col min="4" max="4" width="35" customWidth="1"/>
    <col min="5" max="5" width="26.83203125" customWidth="1"/>
  </cols>
  <sheetData>
    <row r="1" spans="1:5" x14ac:dyDescent="0.2">
      <c r="A1" t="s">
        <v>27</v>
      </c>
      <c r="B1" s="2" t="s">
        <v>0</v>
      </c>
      <c r="C1" s="2" t="s">
        <v>28</v>
      </c>
      <c r="D1" s="2" t="s">
        <v>1</v>
      </c>
      <c r="E1" s="2" t="s">
        <v>2</v>
      </c>
    </row>
    <row r="2" spans="1:5" x14ac:dyDescent="0.2">
      <c r="A2" t="s">
        <v>3</v>
      </c>
      <c r="B2" s="3">
        <v>426272.4</v>
      </c>
      <c r="C2" s="3">
        <v>159473.60000000001</v>
      </c>
      <c r="D2" s="3">
        <v>12.593122613569264</v>
      </c>
      <c r="E2" s="3">
        <v>14.551099373105947</v>
      </c>
    </row>
    <row r="3" spans="1:5" x14ac:dyDescent="0.2">
      <c r="A3" t="s">
        <v>4</v>
      </c>
      <c r="B3" s="3">
        <v>312775.21039669006</v>
      </c>
      <c r="C3" s="3">
        <v>137211.8633342</v>
      </c>
      <c r="D3" s="3">
        <v>-13.275329275888925</v>
      </c>
      <c r="E3" s="3">
        <v>-6.2618583058515647</v>
      </c>
    </row>
    <row r="4" spans="1:5" x14ac:dyDescent="0.2">
      <c r="A4" t="s">
        <v>5</v>
      </c>
      <c r="B4" s="3">
        <v>396828.97522731998</v>
      </c>
      <c r="C4" s="3">
        <v>167988.01667481</v>
      </c>
      <c r="D4" s="3">
        <v>9.5945734101876354</v>
      </c>
      <c r="E4" s="3">
        <v>13.546372254701588</v>
      </c>
    </row>
    <row r="5" spans="1:5" x14ac:dyDescent="0.2">
      <c r="A5" t="s">
        <v>6</v>
      </c>
      <c r="B5" s="3">
        <v>405055.31508371001</v>
      </c>
      <c r="C5" s="3">
        <v>194574.78394563001</v>
      </c>
      <c r="D5" s="3">
        <v>6.9165729195578063</v>
      </c>
      <c r="E5" s="3">
        <v>10.511271180537452</v>
      </c>
    </row>
    <row r="6" spans="1:5" x14ac:dyDescent="0.2">
      <c r="A6" t="s">
        <v>7</v>
      </c>
      <c r="B6" s="3">
        <v>459799.28031904</v>
      </c>
      <c r="C6" s="3">
        <v>185252.35432153</v>
      </c>
      <c r="D6" s="3">
        <f>(B6-B2)/B2 * 100</f>
        <v>7.8651304468785623</v>
      </c>
      <c r="E6" s="3">
        <f>(C6-C2)/C2*100</f>
        <v>16.164903985067117</v>
      </c>
    </row>
    <row r="7" spans="1:5" x14ac:dyDescent="0.2">
      <c r="A7" t="s">
        <v>8</v>
      </c>
      <c r="B7" s="3">
        <v>434384.19405284</v>
      </c>
      <c r="C7" s="3">
        <v>199237.79395219</v>
      </c>
      <c r="D7" s="3">
        <f>(B7-B3)/B3 * 100</f>
        <v>38.880633635227788</v>
      </c>
      <c r="E7" s="3">
        <f t="shared" ref="E7:E25" si="0">(C7-C3)/C3*100</f>
        <v>45.204495523041309</v>
      </c>
    </row>
    <row r="8" spans="1:5" x14ac:dyDescent="0.2">
      <c r="A8" t="s">
        <v>9</v>
      </c>
      <c r="B8" s="3">
        <v>461943.85186157998</v>
      </c>
      <c r="C8" s="3">
        <v>203008.65319501</v>
      </c>
      <c r="D8" s="3">
        <f t="shared" ref="D8:D25" si="1">(B8-B4)/B4 * 100</f>
        <v>16.408800944275683</v>
      </c>
      <c r="E8" s="3">
        <f t="shared" si="0"/>
        <v>20.847103985990085</v>
      </c>
    </row>
    <row r="9" spans="1:5" x14ac:dyDescent="0.2">
      <c r="A9" t="s">
        <v>10</v>
      </c>
      <c r="B9" s="3">
        <v>448133.95743627998</v>
      </c>
      <c r="C9" s="3">
        <v>209475.05089658988</v>
      </c>
      <c r="D9" s="3">
        <f t="shared" si="1"/>
        <v>10.635249248282843</v>
      </c>
      <c r="E9" s="3">
        <f t="shared" si="0"/>
        <v>7.6578612340247751</v>
      </c>
    </row>
    <row r="10" spans="1:5" x14ac:dyDescent="0.2">
      <c r="A10" t="s">
        <v>11</v>
      </c>
      <c r="B10" s="3">
        <v>452281.34225161007</v>
      </c>
      <c r="C10" s="3">
        <v>201348.37111204996</v>
      </c>
      <c r="D10" s="3">
        <f t="shared" si="1"/>
        <v>-1.6350478109085937</v>
      </c>
      <c r="E10" s="3">
        <f t="shared" si="0"/>
        <v>8.6886975604008754</v>
      </c>
    </row>
    <row r="11" spans="1:5" x14ac:dyDescent="0.2">
      <c r="A11" t="s">
        <v>12</v>
      </c>
      <c r="B11" s="3">
        <v>409975.84401737986</v>
      </c>
      <c r="C11" s="3">
        <v>221333.09655502014</v>
      </c>
      <c r="D11" s="3">
        <f t="shared" si="1"/>
        <v>-5.6190695632196563</v>
      </c>
      <c r="E11" s="3">
        <f t="shared" si="0"/>
        <v>11.089915303987068</v>
      </c>
    </row>
    <row r="12" spans="1:5" x14ac:dyDescent="0.2">
      <c r="A12" t="s">
        <v>13</v>
      </c>
      <c r="B12" s="3">
        <v>465677.52878866997</v>
      </c>
      <c r="C12" s="3">
        <v>224211.43560354994</v>
      </c>
      <c r="D12" s="3">
        <f t="shared" si="1"/>
        <v>0.8082534082970686</v>
      </c>
      <c r="E12" s="3">
        <f t="shared" si="0"/>
        <v>10.444275194600968</v>
      </c>
    </row>
    <row r="13" spans="1:5" x14ac:dyDescent="0.2">
      <c r="A13" t="s">
        <v>14</v>
      </c>
      <c r="B13" s="3">
        <v>488812.92591589992</v>
      </c>
      <c r="C13" s="3">
        <v>246325.87695774005</v>
      </c>
      <c r="D13" s="3">
        <f t="shared" si="1"/>
        <v>9.0774126362437233</v>
      </c>
      <c r="E13" s="3">
        <f t="shared" si="0"/>
        <v>17.591988116686064</v>
      </c>
    </row>
    <row r="14" spans="1:5" x14ac:dyDescent="0.2">
      <c r="A14" t="s">
        <v>15</v>
      </c>
      <c r="B14" s="3">
        <v>548353.86447495013</v>
      </c>
      <c r="C14" s="3">
        <v>245352.89104705004</v>
      </c>
      <c r="D14" s="3">
        <f t="shared" si="1"/>
        <v>21.241761100526151</v>
      </c>
      <c r="E14" s="3">
        <f t="shared" si="0"/>
        <v>21.8549172719712</v>
      </c>
    </row>
    <row r="15" spans="1:5" x14ac:dyDescent="0.2">
      <c r="A15" t="s">
        <v>16</v>
      </c>
      <c r="B15" s="3">
        <v>524769.69974681991</v>
      </c>
      <c r="C15" s="3">
        <v>249232.72995021005</v>
      </c>
      <c r="D15" s="3">
        <f t="shared" si="1"/>
        <v>28.000151083187642</v>
      </c>
      <c r="E15" s="3">
        <f t="shared" si="0"/>
        <v>12.605269536928237</v>
      </c>
    </row>
    <row r="16" spans="1:5" x14ac:dyDescent="0.2">
      <c r="A16" t="s">
        <v>17</v>
      </c>
      <c r="B16" s="3">
        <v>573613.19421754009</v>
      </c>
      <c r="C16" s="3">
        <v>264282.47327541979</v>
      </c>
      <c r="D16" s="3">
        <f t="shared" si="1"/>
        <v>23.178199237922133</v>
      </c>
      <c r="E16" s="3">
        <f t="shared" si="0"/>
        <v>17.871986575530141</v>
      </c>
    </row>
    <row r="17" spans="1:5" x14ac:dyDescent="0.2">
      <c r="A17" t="s">
        <v>18</v>
      </c>
      <c r="B17" s="3">
        <v>638321.59831131971</v>
      </c>
      <c r="C17" s="3">
        <v>285514.75604599016</v>
      </c>
      <c r="D17" s="3">
        <f t="shared" si="1"/>
        <v>30.586071780995148</v>
      </c>
      <c r="E17" s="3">
        <f t="shared" si="0"/>
        <v>15.909363470965493</v>
      </c>
    </row>
    <row r="18" spans="1:5" x14ac:dyDescent="0.2">
      <c r="A18" t="s">
        <v>19</v>
      </c>
      <c r="B18" s="3">
        <v>578425.59235505003</v>
      </c>
      <c r="C18" s="3">
        <v>272023.74156643002</v>
      </c>
      <c r="D18" s="3">
        <f t="shared" si="1"/>
        <v>5.4840003560280621</v>
      </c>
      <c r="E18" s="3">
        <f t="shared" si="0"/>
        <v>10.870404015033779</v>
      </c>
    </row>
    <row r="19" spans="1:5" x14ac:dyDescent="0.2">
      <c r="A19" t="s">
        <v>20</v>
      </c>
      <c r="B19" s="3">
        <v>715187.02557671</v>
      </c>
      <c r="C19" s="3">
        <v>311690.99999360013</v>
      </c>
      <c r="D19" s="3">
        <f t="shared" si="1"/>
        <v>36.285884250130813</v>
      </c>
      <c r="E19" s="3">
        <f t="shared" si="0"/>
        <v>25.060219841859272</v>
      </c>
    </row>
    <row r="20" spans="1:5" x14ac:dyDescent="0.2">
      <c r="A20" t="s">
        <v>21</v>
      </c>
      <c r="B20" s="3">
        <v>1113859.3070767799</v>
      </c>
      <c r="C20" s="3">
        <v>441992.54708647972</v>
      </c>
      <c r="D20" s="3">
        <f t="shared" si="1"/>
        <v>94.182999677366908</v>
      </c>
      <c r="E20" s="3">
        <f t="shared" si="0"/>
        <v>67.242474163566968</v>
      </c>
    </row>
    <row r="21" spans="1:5" x14ac:dyDescent="0.2">
      <c r="A21" t="s">
        <v>22</v>
      </c>
      <c r="B21" s="3">
        <v>1312564.7629989795</v>
      </c>
      <c r="C21" s="3">
        <v>1123102.5835320498</v>
      </c>
      <c r="D21" s="3">
        <f t="shared" si="1"/>
        <v>105.62750288747407</v>
      </c>
      <c r="E21" s="3">
        <f t="shared" si="0"/>
        <v>293.36060912772672</v>
      </c>
    </row>
    <row r="22" spans="1:5" x14ac:dyDescent="0.2">
      <c r="A22" t="s">
        <v>23</v>
      </c>
      <c r="B22" s="3">
        <v>845426.81505739002</v>
      </c>
      <c r="C22" s="3">
        <v>602507.94226221996</v>
      </c>
      <c r="D22" s="3">
        <f t="shared" si="1"/>
        <v>46.159994687518754</v>
      </c>
      <c r="E22" s="3">
        <f t="shared" si="0"/>
        <v>121.49094001601455</v>
      </c>
    </row>
    <row r="23" spans="1:5" x14ac:dyDescent="0.2">
      <c r="A23" t="s">
        <v>24</v>
      </c>
      <c r="B23" s="3">
        <v>921221.61025183008</v>
      </c>
      <c r="C23" s="3">
        <v>556402.59550496028</v>
      </c>
      <c r="D23" s="3">
        <f t="shared" si="1"/>
        <v>28.808490269937241</v>
      </c>
      <c r="E23" s="3">
        <f t="shared" si="0"/>
        <v>78.510959737812371</v>
      </c>
    </row>
    <row r="24" spans="1:5" x14ac:dyDescent="0.2">
      <c r="A24" t="s">
        <v>25</v>
      </c>
      <c r="B24" s="3">
        <v>995731.42501250026</v>
      </c>
      <c r="C24" s="3">
        <v>608800.86588296969</v>
      </c>
      <c r="D24" s="3">
        <f t="shared" si="1"/>
        <v>-10.60527854045546</v>
      </c>
      <c r="E24" s="3">
        <f t="shared" si="0"/>
        <v>37.740075007158993</v>
      </c>
    </row>
    <row r="25" spans="1:5" x14ac:dyDescent="0.2">
      <c r="A25" t="s">
        <v>26</v>
      </c>
      <c r="B25" s="3">
        <v>1214234.0365838497</v>
      </c>
      <c r="C25" s="3">
        <v>781008.02236975986</v>
      </c>
      <c r="D25" s="3">
        <f t="shared" si="1"/>
        <v>-7.4914952150979151</v>
      </c>
      <c r="E25" s="3">
        <f t="shared" si="0"/>
        <v>-30.459778668341709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A331-F353-D645-8349-5767AC76A08F}">
  <dimension ref="A1:C8"/>
  <sheetViews>
    <sheetView zoomScale="101"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29</v>
      </c>
      <c r="B1" t="s">
        <v>30</v>
      </c>
      <c r="C1" t="s">
        <v>31</v>
      </c>
    </row>
    <row r="2" spans="1:3" x14ac:dyDescent="0.2">
      <c r="A2">
        <v>2019</v>
      </c>
      <c r="B2">
        <v>33</v>
      </c>
      <c r="C2">
        <v>8</v>
      </c>
    </row>
    <row r="3" spans="1:3" x14ac:dyDescent="0.2">
      <c r="A3">
        <v>2020</v>
      </c>
      <c r="B3">
        <v>29</v>
      </c>
      <c r="C3">
        <v>7</v>
      </c>
    </row>
    <row r="4" spans="1:3" x14ac:dyDescent="0.2">
      <c r="A4">
        <v>2021</v>
      </c>
      <c r="B4">
        <v>26</v>
      </c>
      <c r="C4">
        <v>6</v>
      </c>
    </row>
    <row r="5" spans="1:3" x14ac:dyDescent="0.2">
      <c r="A5">
        <v>2022</v>
      </c>
      <c r="B5">
        <v>20</v>
      </c>
      <c r="C5">
        <v>5</v>
      </c>
    </row>
    <row r="6" spans="1:3" x14ac:dyDescent="0.2">
      <c r="A6">
        <v>2023</v>
      </c>
      <c r="B6">
        <v>25</v>
      </c>
      <c r="C6">
        <v>7</v>
      </c>
    </row>
    <row r="7" spans="1:3" x14ac:dyDescent="0.2">
      <c r="A7">
        <v>2024</v>
      </c>
      <c r="B7">
        <v>31</v>
      </c>
      <c r="C7">
        <v>8</v>
      </c>
    </row>
    <row r="8" spans="1:3" x14ac:dyDescent="0.2">
      <c r="A8">
        <v>2025</v>
      </c>
      <c r="B8">
        <v>27</v>
      </c>
      <c r="C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B3A9-1B9E-0044-994F-65D40A02C4B6}">
  <dimension ref="A1:H3"/>
  <sheetViews>
    <sheetView workbookViewId="0">
      <selection activeCell="C1" sqref="C1"/>
    </sheetView>
  </sheetViews>
  <sheetFormatPr baseColWidth="10" defaultRowHeight="16" x14ac:dyDescent="0.2"/>
  <cols>
    <col min="1" max="1" width="10.83203125" style="4"/>
    <col min="2" max="2" width="18.1640625" style="4" customWidth="1"/>
    <col min="3" max="3" width="27" style="4" customWidth="1"/>
    <col min="4" max="4" width="25.5" style="4" customWidth="1"/>
    <col min="5" max="5" width="32.1640625" style="4" customWidth="1"/>
    <col min="6" max="6" width="25" style="4" customWidth="1"/>
    <col min="7" max="7" width="28.5" style="4" customWidth="1"/>
    <col min="8" max="8" width="18.1640625" style="4" customWidth="1"/>
    <col min="9" max="16384" width="10.83203125" style="4"/>
  </cols>
  <sheetData>
    <row r="1" spans="1:8" ht="69" customHeight="1" x14ac:dyDescent="0.2">
      <c r="A1" s="4" t="s">
        <v>29</v>
      </c>
      <c r="B1" s="4" t="s">
        <v>32</v>
      </c>
      <c r="C1" s="1" t="s">
        <v>112</v>
      </c>
      <c r="D1" s="4" t="s">
        <v>111</v>
      </c>
      <c r="E1" s="4" t="s">
        <v>110</v>
      </c>
      <c r="F1" s="4" t="s">
        <v>33</v>
      </c>
      <c r="G1" s="4" t="s">
        <v>34</v>
      </c>
      <c r="H1" s="4" t="s">
        <v>35</v>
      </c>
    </row>
    <row r="2" spans="1:8" x14ac:dyDescent="0.2">
      <c r="A2" s="4">
        <v>2024</v>
      </c>
      <c r="B2" s="4">
        <v>3</v>
      </c>
      <c r="C2" s="4">
        <v>2</v>
      </c>
      <c r="D2" s="4">
        <v>4</v>
      </c>
      <c r="E2" s="62">
        <v>12.4</v>
      </c>
      <c r="F2" s="4">
        <v>54.3</v>
      </c>
      <c r="G2" s="4">
        <v>18.3</v>
      </c>
      <c r="H2" s="4">
        <v>6</v>
      </c>
    </row>
    <row r="3" spans="1:8" x14ac:dyDescent="0.2">
      <c r="A3" s="4">
        <v>2025</v>
      </c>
      <c r="B3" s="4">
        <v>3</v>
      </c>
      <c r="C3" s="4">
        <v>2</v>
      </c>
      <c r="D3" s="4">
        <v>4</v>
      </c>
      <c r="E3" s="4">
        <v>13</v>
      </c>
      <c r="F3" s="4">
        <v>52</v>
      </c>
      <c r="G3" s="4">
        <v>20</v>
      </c>
      <c r="H3" s="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B60C-9595-CB49-A09F-A4CEB471392B}">
  <dimension ref="A1:K10"/>
  <sheetViews>
    <sheetView workbookViewId="0">
      <selection sqref="A1:XFD1"/>
    </sheetView>
  </sheetViews>
  <sheetFormatPr baseColWidth="10" defaultRowHeight="16" x14ac:dyDescent="0.2"/>
  <cols>
    <col min="1" max="1" width="10.83203125" style="1"/>
    <col min="2" max="3" width="17.33203125" style="1" customWidth="1"/>
    <col min="4" max="4" width="15.6640625" style="1" customWidth="1"/>
    <col min="5" max="5" width="20.5" style="1" customWidth="1"/>
    <col min="6" max="6" width="22.33203125" style="1" customWidth="1"/>
    <col min="7" max="7" width="27.6640625" style="1" customWidth="1"/>
    <col min="8" max="8" width="32.83203125" style="1" customWidth="1"/>
    <col min="9" max="9" width="14.6640625" style="1" customWidth="1"/>
    <col min="10" max="10" width="10.83203125" style="1"/>
    <col min="11" max="11" width="11.1640625" style="1" bestFit="1" customWidth="1"/>
    <col min="12" max="16384" width="10.83203125" style="1"/>
  </cols>
  <sheetData>
    <row r="1" spans="1:11" s="57" customFormat="1" ht="34" x14ac:dyDescent="0.2">
      <c r="A1" s="57" t="s">
        <v>29</v>
      </c>
      <c r="B1" s="56" t="s">
        <v>113</v>
      </c>
      <c r="C1" s="57" t="s">
        <v>114</v>
      </c>
      <c r="D1" s="57" t="s">
        <v>115</v>
      </c>
      <c r="E1" s="57" t="s">
        <v>116</v>
      </c>
      <c r="F1" s="57" t="s">
        <v>117</v>
      </c>
      <c r="G1" s="57" t="s">
        <v>118</v>
      </c>
      <c r="H1" s="57" t="s">
        <v>119</v>
      </c>
      <c r="I1" s="57" t="s">
        <v>109</v>
      </c>
    </row>
    <row r="2" spans="1:11" x14ac:dyDescent="0.2">
      <c r="A2" s="1">
        <v>2017</v>
      </c>
      <c r="B2" s="61">
        <f>Лист5!F205</f>
        <v>4537172</v>
      </c>
      <c r="C2" s="61">
        <f>Лист5!F212</f>
        <v>59595204</v>
      </c>
      <c r="D2" s="61">
        <f>Лист5!F213</f>
        <v>11086927</v>
      </c>
      <c r="E2" s="61">
        <f>Лист5!F214</f>
        <v>3932793</v>
      </c>
      <c r="F2" s="61">
        <f>Лист5!F215</f>
        <v>423567</v>
      </c>
      <c r="G2" s="61">
        <f>Лист5!F216</f>
        <v>38296978</v>
      </c>
      <c r="H2" s="61">
        <f>Лист5!F217</f>
        <v>38164033</v>
      </c>
      <c r="I2" s="61">
        <f>Лист5!F218</f>
        <v>37075344</v>
      </c>
      <c r="K2" s="58"/>
    </row>
    <row r="3" spans="1:11" x14ac:dyDescent="0.2">
      <c r="A3" s="1">
        <v>2018</v>
      </c>
      <c r="B3" s="61">
        <f>Лист5!J205</f>
        <v>6003845</v>
      </c>
      <c r="C3" s="61">
        <f>Лист5!J212</f>
        <v>57633509</v>
      </c>
      <c r="D3" s="61">
        <f>Лист5!J213</f>
        <v>12317853</v>
      </c>
      <c r="E3" s="61">
        <f>Лист5!J214</f>
        <v>4731289</v>
      </c>
      <c r="F3" s="61">
        <f>Лист5!J215</f>
        <v>729707</v>
      </c>
      <c r="G3" s="61">
        <f>Лист5!J216</f>
        <v>45662023</v>
      </c>
      <c r="H3" s="61">
        <f>Лист5!J217</f>
        <v>39704379</v>
      </c>
      <c r="I3" s="61">
        <f>Лист5!J218</f>
        <v>35773717</v>
      </c>
      <c r="K3" s="58"/>
    </row>
    <row r="4" spans="1:11" x14ac:dyDescent="0.2">
      <c r="A4" s="1">
        <v>2019</v>
      </c>
      <c r="B4" s="61">
        <f>Лист5!N205</f>
        <v>5212447</v>
      </c>
      <c r="C4" s="61">
        <f>Лист5!N212</f>
        <v>55158256</v>
      </c>
      <c r="D4" s="61">
        <f>Лист5!N213</f>
        <v>17033842</v>
      </c>
      <c r="E4" s="61">
        <f>Лист5!N214</f>
        <v>4934083</v>
      </c>
      <c r="F4" s="61">
        <f>Лист5!N215</f>
        <v>440595</v>
      </c>
      <c r="G4" s="61">
        <f>Лист5!N216</f>
        <v>48790230</v>
      </c>
      <c r="H4" s="61">
        <f>Лист5!N217</f>
        <v>39691288</v>
      </c>
      <c r="I4" s="61">
        <f>Лист5!N218</f>
        <v>36849018</v>
      </c>
      <c r="K4" s="58"/>
    </row>
    <row r="5" spans="1:11" x14ac:dyDescent="0.2">
      <c r="A5" s="1">
        <v>2020</v>
      </c>
      <c r="B5" s="61">
        <f>Лист5!R205</f>
        <v>5382538</v>
      </c>
      <c r="C5" s="61">
        <f>Лист5!R212</f>
        <v>39886810</v>
      </c>
      <c r="D5" s="61">
        <f>Лист5!R213</f>
        <v>10730002</v>
      </c>
      <c r="E5" s="61">
        <f>Лист5!R214</f>
        <v>5244630</v>
      </c>
      <c r="F5" s="61">
        <f>Лист5!R215</f>
        <v>409601</v>
      </c>
      <c r="G5" s="61">
        <f>Лист5!R216</f>
        <v>43219929</v>
      </c>
      <c r="H5" s="61">
        <f>Лист5!R217</f>
        <v>39659499</v>
      </c>
      <c r="I5" s="61">
        <f>Лист5!R218</f>
        <v>30571781</v>
      </c>
      <c r="K5" s="58"/>
    </row>
    <row r="6" spans="1:11" x14ac:dyDescent="0.2">
      <c r="A6" s="1">
        <v>2021</v>
      </c>
      <c r="B6" s="61">
        <f>Лист5!V205</f>
        <v>6339933</v>
      </c>
      <c r="C6" s="61">
        <f>Лист5!V212</f>
        <v>64681020</v>
      </c>
      <c r="D6" s="61">
        <f>Лист5!V213</f>
        <v>12620220</v>
      </c>
      <c r="E6" s="61">
        <f>Лист5!V214</f>
        <v>5426989</v>
      </c>
      <c r="F6" s="61">
        <f>Лист5!V215</f>
        <v>548029</v>
      </c>
      <c r="G6" s="61">
        <f>Лист5!V216</f>
        <v>55334418</v>
      </c>
      <c r="H6" s="61">
        <f>Лист5!V217</f>
        <v>39923837</v>
      </c>
      <c r="I6" s="61">
        <f>Лист5!V218</f>
        <v>57365344</v>
      </c>
      <c r="K6" s="58"/>
    </row>
    <row r="7" spans="1:11" x14ac:dyDescent="0.2">
      <c r="A7" s="1">
        <v>2022</v>
      </c>
      <c r="B7" s="61">
        <f>Лист5!Z205</f>
        <v>5167387</v>
      </c>
      <c r="C7" s="61">
        <f>Лист5!Z212</f>
        <v>59741237</v>
      </c>
      <c r="D7" s="61">
        <f>Лист5!Z213</f>
        <v>13014840</v>
      </c>
      <c r="E7" s="61">
        <f>Лист5!Z214</f>
        <v>6049534</v>
      </c>
      <c r="F7" s="61">
        <f>Лист5!Z215</f>
        <v>904109</v>
      </c>
      <c r="G7" s="61">
        <f>Лист5!Z216</f>
        <v>50976424</v>
      </c>
      <c r="H7" s="61">
        <f>Лист5!Z217</f>
        <v>40131233</v>
      </c>
      <c r="I7" s="61">
        <f>Лист5!Z218</f>
        <v>65326529</v>
      </c>
      <c r="K7" s="58"/>
    </row>
    <row r="8" spans="1:11" x14ac:dyDescent="0.2">
      <c r="A8" s="1">
        <v>2023</v>
      </c>
      <c r="B8" s="61">
        <f>Лист5!AD205</f>
        <v>5220701</v>
      </c>
      <c r="C8" s="61">
        <f>Лист5!AD212</f>
        <v>87328998</v>
      </c>
      <c r="D8" s="61">
        <f>Лист5!AD213</f>
        <v>13860106</v>
      </c>
      <c r="E8" s="61">
        <f>Лист5!AD214</f>
        <v>8892968</v>
      </c>
      <c r="F8" s="61">
        <f>Лист5!AD215</f>
        <v>1048191</v>
      </c>
      <c r="G8" s="61">
        <f>Лист5!AD216</f>
        <v>61511189</v>
      </c>
      <c r="H8" s="61">
        <f>Лист5!AD217</f>
        <v>41315586</v>
      </c>
      <c r="I8" s="61">
        <f>Лист5!AD218</f>
        <v>81731244</v>
      </c>
      <c r="K8" s="58"/>
    </row>
    <row r="9" spans="1:11" x14ac:dyDescent="0.2">
      <c r="A9" s="1">
        <v>2024</v>
      </c>
      <c r="B9" s="61">
        <f>Лист5!AH205</f>
        <v>4636721</v>
      </c>
      <c r="C9" s="61">
        <f>Лист5!AH212</f>
        <v>78698713</v>
      </c>
      <c r="D9" s="61">
        <f>Лист5!AH213</f>
        <v>15448136</v>
      </c>
      <c r="E9" s="61">
        <f>Лист5!AH214</f>
        <v>10578448</v>
      </c>
      <c r="F9" s="61">
        <f>Лист5!AH215</f>
        <v>1550643</v>
      </c>
      <c r="G9" s="61">
        <f>Лист5!AH216</f>
        <v>62552963</v>
      </c>
      <c r="H9" s="61">
        <f>Лист5!AH217</f>
        <v>44506337</v>
      </c>
      <c r="I9" s="61">
        <f>Лист5!AH218</f>
        <v>80597141</v>
      </c>
      <c r="K9" s="58"/>
    </row>
    <row r="10" spans="1:11" x14ac:dyDescent="0.2">
      <c r="A10" s="1">
        <v>2025</v>
      </c>
      <c r="B10" s="61">
        <f>Лист5!AL205</f>
        <v>3968805</v>
      </c>
      <c r="C10" s="61">
        <f>Лист5!AL212</f>
        <v>103918576</v>
      </c>
      <c r="D10" s="61">
        <f>Лист5!AL213</f>
        <v>14688695</v>
      </c>
      <c r="E10" s="61">
        <f>Лист5!AL214</f>
        <v>10689599</v>
      </c>
      <c r="F10" s="61">
        <f>Лист5!AL215</f>
        <v>1801528</v>
      </c>
      <c r="G10" s="61">
        <f>Лист5!AL216</f>
        <v>94105982</v>
      </c>
      <c r="H10" s="61">
        <f>Лист5!AL217</f>
        <v>54435536</v>
      </c>
      <c r="I10" s="61">
        <f>Лист5!AL218</f>
        <v>111870261</v>
      </c>
      <c r="K10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DF3B-37AD-3B49-B247-A11665BE8893}">
  <dimension ref="A1:K10"/>
  <sheetViews>
    <sheetView workbookViewId="0">
      <selection activeCell="D27" sqref="D27"/>
    </sheetView>
  </sheetViews>
  <sheetFormatPr baseColWidth="10" defaultRowHeight="16" x14ac:dyDescent="0.2"/>
  <cols>
    <col min="2" max="2" width="16" customWidth="1"/>
    <col min="3" max="3" width="21.1640625" customWidth="1"/>
    <col min="4" max="4" width="23.33203125" customWidth="1"/>
    <col min="5" max="5" width="28.83203125" customWidth="1"/>
    <col min="6" max="6" width="29.1640625" customWidth="1"/>
    <col min="7" max="7" width="24.6640625" customWidth="1"/>
    <col min="8" max="8" width="26.1640625" customWidth="1"/>
  </cols>
  <sheetData>
    <row r="1" spans="1:11" s="57" customFormat="1" ht="34" x14ac:dyDescent="0.2">
      <c r="A1" s="57" t="s">
        <v>29</v>
      </c>
      <c r="B1" s="56" t="s">
        <v>113</v>
      </c>
      <c r="C1" s="57" t="s">
        <v>114</v>
      </c>
      <c r="D1" s="57" t="s">
        <v>115</v>
      </c>
      <c r="E1" s="57" t="s">
        <v>116</v>
      </c>
      <c r="F1" s="57" t="s">
        <v>117</v>
      </c>
      <c r="G1" s="57" t="s">
        <v>118</v>
      </c>
      <c r="H1" s="57" t="s">
        <v>119</v>
      </c>
      <c r="I1" s="57" t="s">
        <v>109</v>
      </c>
    </row>
    <row r="2" spans="1:11" x14ac:dyDescent="0.2">
      <c r="A2" s="59">
        <v>2017</v>
      </c>
      <c r="B2" s="61" cm="1">
        <f t="array" aca="1" ref="B2" ca="1">INDIRECT("Лист5!F"&amp;188+(COLUMN()-COLUMN($A$1)))</f>
        <v>331536.826</v>
      </c>
      <c r="C2" s="61" cm="1">
        <f t="array" aca="1" ref="C2" ca="1">INDIRECT("Лист5!F"&amp;194+(COLUMN()-COLUMN($A$1)))</f>
        <v>121249.27899999999</v>
      </c>
      <c r="D2" s="61" cm="1">
        <f t="array" aca="1" ref="D2" ca="1">INDIRECT("Лист5!F"&amp;194+(COLUMN()-COLUMN($A$1)))</f>
        <v>140007.95199999999</v>
      </c>
      <c r="E2" s="61" cm="1">
        <f t="array" aca="1" ref="E2" ca="1">INDIRECT("Лист5!F"&amp;194+(COLUMN()-COLUMN($A$1)))</f>
        <v>162495.76199999999</v>
      </c>
      <c r="F2" s="61" cm="1">
        <f t="array" aca="1" ref="F2" ca="1">INDIRECT("Лист5!F"&amp;194+(COLUMN()-COLUMN($A$1)))</f>
        <v>95988.475000000006</v>
      </c>
      <c r="G2" s="61" cm="1">
        <f t="array" aca="1" ref="G2" ca="1">INDIRECT("Лист5!F"&amp;194+(COLUMN()-COLUMN($A$1)))</f>
        <v>57406.517999999996</v>
      </c>
      <c r="H2" s="61" cm="1">
        <f t="array" aca="1" ref="H2" ca="1">INDIRECT("Лист5!F"&amp;194+(COLUMN()-COLUMN($A$1)))</f>
        <v>222075.98</v>
      </c>
      <c r="I2" s="61" cm="1">
        <f t="array" aca="1" ref="I2" ca="1">INDIRECT("Лист5!F"&amp;194+(COLUMN()-COLUMN($A$1)))</f>
        <v>148080.80299999999</v>
      </c>
      <c r="J2" s="59"/>
      <c r="K2" s="60"/>
    </row>
    <row r="3" spans="1:11" x14ac:dyDescent="0.2">
      <c r="A3" s="59">
        <v>2018</v>
      </c>
      <c r="B3" s="61" cm="1">
        <f t="array" aca="1" ref="B3" ca="1">INDIRECT("Лист5!J"&amp;188+(COLUMN()-COLUMN($A$1)))</f>
        <v>452399.85352926998</v>
      </c>
      <c r="C3" s="61" cm="1">
        <f t="array" aca="1" ref="C3" ca="1">INDIRECT("Лист5!J"&amp;194+(COLUMN()-COLUMN($A$1)))</f>
        <v>169520.91928634001</v>
      </c>
      <c r="D3" s="61" cm="1">
        <f t="array" aca="1" ref="D3" ca="1">INDIRECT("Лист5!J"&amp;194+(COLUMN()-COLUMN($A$1)))</f>
        <v>151842.79319455998</v>
      </c>
      <c r="E3" s="61" cm="1">
        <f t="array" aca="1" ref="E3" ca="1">INDIRECT("Лист5!J"&amp;194+(COLUMN()-COLUMN($A$1)))</f>
        <v>168691.75581793999</v>
      </c>
      <c r="F3" s="61" cm="1">
        <f t="array" aca="1" ref="F3" ca="1">INDIRECT("Лист5!J"&amp;194+(COLUMN()-COLUMN($A$1)))</f>
        <v>88523.651796270002</v>
      </c>
      <c r="G3" s="61" cm="1">
        <f t="array" aca="1" ref="G3" ca="1">INDIRECT("Лист5!J"&amp;194+(COLUMN()-COLUMN($A$1)))</f>
        <v>64810.51387232</v>
      </c>
      <c r="H3" s="61" cm="1">
        <f t="array" aca="1" ref="H3" ca="1">INDIRECT("Лист5!J"&amp;194+(COLUMN()-COLUMN($A$1)))</f>
        <v>225965.14246104</v>
      </c>
      <c r="I3" s="61" cm="1">
        <f t="array" aca="1" ref="I3" ca="1">INDIRECT("Лист5!J"&amp;194+(COLUMN()-COLUMN($A$1)))</f>
        <v>157746.49798022996</v>
      </c>
      <c r="J3" s="59"/>
      <c r="K3" s="60"/>
    </row>
    <row r="4" spans="1:11" x14ac:dyDescent="0.2">
      <c r="A4" s="59">
        <v>2019</v>
      </c>
      <c r="B4" s="61" cm="1">
        <f t="array" aca="1" ref="B4" ca="1">INDIRECT("Лист5!N"&amp;188+(COLUMN()-COLUMN($A$1)))</f>
        <v>409374.10540273</v>
      </c>
      <c r="C4" s="61" cm="1">
        <f t="array" aca="1" ref="C4" ca="1">INDIRECT("Лист5!N"&amp;194+(COLUMN()-COLUMN($A$1)))</f>
        <v>187366.45723306001</v>
      </c>
      <c r="D4" s="61" cm="1">
        <f t="array" aca="1" ref="D4" ca="1">INDIRECT("Лист5!N"&amp;194+(COLUMN()-COLUMN($A$1)))</f>
        <v>180654.78731472002</v>
      </c>
      <c r="E4" s="61" cm="1">
        <f t="array" aca="1" ref="E4" ca="1">INDIRECT("Лист5!N"&amp;194+(COLUMN()-COLUMN($A$1)))</f>
        <v>170546.90619518</v>
      </c>
      <c r="F4" s="61" cm="1">
        <f t="array" aca="1" ref="F4" ca="1">INDIRECT("Лист5!N"&amp;194+(COLUMN()-COLUMN($A$1)))</f>
        <v>103322.29912424</v>
      </c>
      <c r="G4" s="61" cm="1">
        <f t="array" aca="1" ref="G4" ca="1">INDIRECT("Лист5!N"&amp;194+(COLUMN()-COLUMN($A$1)))</f>
        <v>71900.592745410002</v>
      </c>
      <c r="H4" s="61" cm="1">
        <f t="array" aca="1" ref="H4" ca="1">INDIRECT("Лист5!N"&amp;194+(COLUMN()-COLUMN($A$1)))</f>
        <v>214948.97987406998</v>
      </c>
      <c r="I4" s="61" cm="1">
        <f t="array" aca="1" ref="I4" ca="1">INDIRECT("Лист5!N"&amp;194+(COLUMN()-COLUMN($A$1)))</f>
        <v>143063.46056704008</v>
      </c>
      <c r="J4" s="59"/>
      <c r="K4" s="60"/>
    </row>
    <row r="5" spans="1:11" x14ac:dyDescent="0.2">
      <c r="A5" s="59">
        <v>2020</v>
      </c>
      <c r="B5" s="61" cm="1">
        <f t="array" aca="1" ref="B5" ca="1">INDIRECT("Лист5!R"&amp;188+(COLUMN()-COLUMN($A$1)))</f>
        <v>430517.25141763996</v>
      </c>
      <c r="C5" s="61" cm="1">
        <f t="array" aca="1" ref="C5" ca="1">INDIRECT("Лист5!R"&amp;194+(COLUMN()-COLUMN($A$1)))</f>
        <v>202309.85724447001</v>
      </c>
      <c r="D5" s="61" cm="1">
        <f t="array" aca="1" ref="D5" ca="1">INDIRECT("Лист5!R"&amp;194+(COLUMN()-COLUMN($A$1)))</f>
        <v>176964.7114112</v>
      </c>
      <c r="E5" s="61" cm="1">
        <f t="array" aca="1" ref="E5" ca="1">INDIRECT("Лист5!R"&amp;194+(COLUMN()-COLUMN($A$1)))</f>
        <v>175422.86972841999</v>
      </c>
      <c r="F5" s="61" cm="1">
        <f t="array" aca="1" ref="F5" ca="1">INDIRECT("Лист5!R"&amp;194+(COLUMN()-COLUMN($A$1)))</f>
        <v>113142.52014571</v>
      </c>
      <c r="G5" s="61" cm="1">
        <f t="array" aca="1" ref="G5" ca="1">INDIRECT("Лист5!R"&amp;194+(COLUMN()-COLUMN($A$1)))</f>
        <v>71650.464138420008</v>
      </c>
      <c r="H5" s="61" cm="1">
        <f t="array" aca="1" ref="H5" ca="1">INDIRECT("Лист5!R"&amp;194+(COLUMN()-COLUMN($A$1)))</f>
        <v>220021.17709178998</v>
      </c>
      <c r="I5" s="61" cm="1">
        <f t="array" aca="1" ref="I5" ca="1">INDIRECT("Лист5!R"&amp;194+(COLUMN()-COLUMN($A$1)))</f>
        <v>148671.88039475013</v>
      </c>
      <c r="J5" s="59"/>
      <c r="K5" s="60"/>
    </row>
    <row r="6" spans="1:11" x14ac:dyDescent="0.2">
      <c r="A6" s="59">
        <v>2021</v>
      </c>
      <c r="B6" s="61" cm="1">
        <f t="array" aca="1" ref="B6" ca="1">INDIRECT("Лист5!V"&amp;188+(COLUMN()-COLUMN($A$1)))</f>
        <v>524402.36945885001</v>
      </c>
      <c r="C6" s="61" cm="1">
        <f t="array" aca="1" ref="C6" ca="1">INDIRECT("Лист5!V"&amp;194+(COLUMN()-COLUMN($A$1)))</f>
        <v>261893.41848785002</v>
      </c>
      <c r="D6" s="61" cm="1">
        <f t="array" aca="1" ref="D6" ca="1">INDIRECT("Лист5!V"&amp;194+(COLUMN()-COLUMN($A$1)))</f>
        <v>199927.18893276001</v>
      </c>
      <c r="E6" s="61" cm="1">
        <f t="array" aca="1" ref="E6" ca="1">INDIRECT("Лист5!V"&amp;194+(COLUMN()-COLUMN($A$1)))</f>
        <v>207076.23168139</v>
      </c>
      <c r="F6" s="61" cm="1">
        <f t="array" aca="1" ref="F6" ca="1">INDIRECT("Лист5!V"&amp;194+(COLUMN()-COLUMN($A$1)))</f>
        <v>120193.46877626001</v>
      </c>
      <c r="G6" s="61" cm="1">
        <f t="array" aca="1" ref="G6" ca="1">INDIRECT("Лист5!V"&amp;194+(COLUMN()-COLUMN($A$1)))</f>
        <v>81776.524004320003</v>
      </c>
      <c r="H6" s="61" cm="1">
        <f t="array" aca="1" ref="H6" ca="1">INDIRECT("Лист5!V"&amp;194+(COLUMN()-COLUMN($A$1)))</f>
        <v>225548.34837118001</v>
      </c>
      <c r="I6" s="61" cm="1">
        <f t="array" aca="1" ref="I6" ca="1">INDIRECT("Лист5!V"&amp;194+(COLUMN()-COLUMN($A$1)))</f>
        <v>187471.73004044022</v>
      </c>
      <c r="J6" s="59"/>
      <c r="K6" s="60"/>
    </row>
    <row r="7" spans="1:11" x14ac:dyDescent="0.2">
      <c r="A7" s="59">
        <v>2022</v>
      </c>
      <c r="B7" s="61" cm="1">
        <f t="array" aca="1" ref="B7" ca="1">INDIRECT("Лист5!Z"&amp;188+(COLUMN()-COLUMN($A$1)))</f>
        <v>511299.21649573999</v>
      </c>
      <c r="C7" s="61" cm="1">
        <f t="array" aca="1" ref="C7" ca="1">INDIRECT("Лист5!Z"&amp;194+(COLUMN()-COLUMN($A$1)))</f>
        <v>207182.37176380001</v>
      </c>
      <c r="D7" s="61" cm="1">
        <f t="array" aca="1" ref="D7" ca="1">INDIRECT("Лист5!Z"&amp;194+(COLUMN()-COLUMN($A$1)))</f>
        <v>213702.21177008</v>
      </c>
      <c r="E7" s="61" cm="1">
        <f t="array" aca="1" ref="E7" ca="1">INDIRECT("Лист5!Z"&amp;194+(COLUMN()-COLUMN($A$1)))</f>
        <v>222845.42192754001</v>
      </c>
      <c r="F7" s="61" cm="1">
        <f t="array" aca="1" ref="F7" ca="1">INDIRECT("Лист5!Z"&amp;194+(COLUMN()-COLUMN($A$1)))</f>
        <v>128641.80370799</v>
      </c>
      <c r="G7" s="61" cm="1">
        <f t="array" aca="1" ref="G7" ca="1">INDIRECT("Лист5!Z"&amp;194+(COLUMN()-COLUMN($A$1)))</f>
        <v>84251.617754130013</v>
      </c>
      <c r="H7" s="61" cm="1">
        <f t="array" aca="1" ref="H7" ca="1">INDIRECT("Лист5!Z"&amp;194+(COLUMN()-COLUMN($A$1)))</f>
        <v>273103.35541081999</v>
      </c>
      <c r="I7" s="61" cm="1">
        <f t="array" aca="1" ref="I7" ca="1">INDIRECT("Лист5!Z"&amp;194+(COLUMN()-COLUMN($A$1)))</f>
        <v>175721.64214345976</v>
      </c>
      <c r="J7" s="59"/>
      <c r="K7" s="60"/>
    </row>
    <row r="8" spans="1:11" x14ac:dyDescent="0.2">
      <c r="A8" s="59">
        <v>2023</v>
      </c>
      <c r="B8" s="61" cm="1">
        <f t="array" aca="1" ref="B8" ca="1">INDIRECT("Лист5!AD"&amp;188+(COLUMN()-COLUMN($A$1)))</f>
        <v>775060.92792341998</v>
      </c>
      <c r="C8" s="61" cm="1">
        <f t="array" aca="1" ref="C8" ca="1">INDIRECT("Лист5!AD"&amp;194+(COLUMN()-COLUMN($A$1)))</f>
        <v>200056.1197213</v>
      </c>
      <c r="D8" s="61" cm="1">
        <f t="array" aca="1" ref="D8" ca="1">INDIRECT("Лист5!AD"&amp;194+(COLUMN()-COLUMN($A$1)))</f>
        <v>253498.47438211</v>
      </c>
      <c r="E8" s="61" cm="1">
        <f t="array" aca="1" ref="E8" ca="1">INDIRECT("Лист5!AD"&amp;194+(COLUMN()-COLUMN($A$1)))</f>
        <v>270638.65012462001</v>
      </c>
      <c r="F8" s="61" cm="1">
        <f t="array" aca="1" ref="F8" ca="1">INDIRECT("Лист5!AD"&amp;194+(COLUMN()-COLUMN($A$1)))</f>
        <v>133944.20850393001</v>
      </c>
      <c r="G8" s="61" cm="1">
        <f t="array" aca="1" ref="G8" ca="1">INDIRECT("Лист5!AD"&amp;194+(COLUMN()-COLUMN($A$1)))</f>
        <v>117359.77028734999</v>
      </c>
      <c r="H8" s="61" cm="1">
        <f t="array" aca="1" ref="H8" ca="1">INDIRECT("Лист5!AD"&amp;194+(COLUMN()-COLUMN($A$1)))</f>
        <v>324416.06333568</v>
      </c>
      <c r="I8" s="61" cm="1">
        <f t="array" aca="1" ref="I8" ca="1">INDIRECT("Лист5!AD"&amp;194+(COLUMN()-COLUMN($A$1)))</f>
        <v>210084.14247222006</v>
      </c>
      <c r="J8" s="59"/>
      <c r="K8" s="60"/>
    </row>
    <row r="9" spans="1:11" x14ac:dyDescent="0.2">
      <c r="A9" s="59">
        <v>2024</v>
      </c>
      <c r="B9" s="61" cm="1">
        <f t="array" aca="1" ref="B9" ca="1">INDIRECT("Лист5!AH"&amp;188+(COLUMN()-COLUMN($A$1)))</f>
        <v>2033132.82002421</v>
      </c>
      <c r="C9" s="61" cm="1">
        <f t="array" aca="1" ref="C9" ca="1">INDIRECT("Лист5!AH"&amp;194+(COLUMN()-COLUMN($A$1)))</f>
        <v>168044.49514741998</v>
      </c>
      <c r="D9" s="61" cm="1">
        <f t="array" aca="1" ref="D9" ca="1">INDIRECT("Лист5!AH"&amp;194+(COLUMN()-COLUMN($A$1)))</f>
        <v>328295.88177381997</v>
      </c>
      <c r="E9" s="61" cm="1">
        <f t="array" aca="1" ref="E9" ca="1">INDIRECT("Лист5!AH"&amp;194+(COLUMN()-COLUMN($A$1)))</f>
        <v>323157.78376357001</v>
      </c>
      <c r="F9" s="61" cm="1">
        <f t="array" aca="1" ref="F9" ca="1">INDIRECT("Лист5!AH"&amp;194+(COLUMN()-COLUMN($A$1)))</f>
        <v>150858.40396193002</v>
      </c>
      <c r="G9" s="61" cm="1">
        <f t="array" aca="1" ref="G9" ca="1">INDIRECT("Лист5!AH"&amp;194+(COLUMN()-COLUMN($A$1)))</f>
        <v>126247.92931050999</v>
      </c>
      <c r="H9" s="61" cm="1">
        <f t="array" aca="1" ref="H9" ca="1">INDIRECT("Лист5!AH"&amp;194+(COLUMN()-COLUMN($A$1)))</f>
        <v>331940.74120816001</v>
      </c>
      <c r="I9" s="61" cm="1">
        <f t="array" aca="1" ref="I9" ca="1">INDIRECT("Лист5!AH"&amp;194+(COLUMN()-COLUMN($A$1)))</f>
        <v>258358.63281789963</v>
      </c>
      <c r="J9" s="59"/>
      <c r="K9" s="60"/>
    </row>
    <row r="10" spans="1:11" x14ac:dyDescent="0.2">
      <c r="A10" s="59">
        <v>2025</v>
      </c>
      <c r="B10" s="61" cm="1">
        <f t="array" aca="1" ref="B10" ca="1">INDIRECT("Лист5!AL"&amp;188+(COLUMN()-COLUMN($A$1)))</f>
        <v>2253618.3213273804</v>
      </c>
      <c r="C10" s="61" cm="1">
        <f t="array" aca="1" ref="C10" ca="1">INDIRECT("Лист5!AL"&amp;194+(COLUMN()-COLUMN($A$1)))</f>
        <v>157469.06201140999</v>
      </c>
      <c r="D10" s="61" cm="1">
        <f t="array" aca="1" ref="D10" ca="1">INDIRECT("Лист5!AL"&amp;194+(COLUMN()-COLUMN($A$1)))</f>
        <v>323650.70912163</v>
      </c>
      <c r="E10" s="61" cm="1">
        <f t="array" aca="1" ref="E10" ca="1">INDIRECT("Лист5!AL"&amp;194+(COLUMN()-COLUMN($A$1)))</f>
        <v>338831.25434488</v>
      </c>
      <c r="F10" s="61" cm="1">
        <f t="array" aca="1" ref="F10" ca="1">INDIRECT("Лист5!AL"&amp;194+(COLUMN()-COLUMN($A$1)))</f>
        <v>170294.37503252001</v>
      </c>
      <c r="G10" s="61" cm="1">
        <f t="array" aca="1" ref="G10" ca="1">INDIRECT("Лист5!AL"&amp;194+(COLUMN()-COLUMN($A$1)))</f>
        <v>136924.79581459999</v>
      </c>
      <c r="H10" s="61" cm="1">
        <f t="array" aca="1" ref="H10" ca="1">INDIRECT("Лист5!AL"&amp;194+(COLUMN()-COLUMN($A$1)))</f>
        <v>330281.69073136995</v>
      </c>
      <c r="I10" s="61" cm="1">
        <f t="array" aca="1" ref="I10" ca="1">INDIRECT("Лист5!AL"&amp;194+(COLUMN()-COLUMN($A$1)))</f>
        <v>265543.67852177966</v>
      </c>
      <c r="J10" s="59"/>
      <c r="K10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342E-4EC2-D74B-957C-76EC6A1669EB}">
  <dimension ref="A1:I10"/>
  <sheetViews>
    <sheetView workbookViewId="0">
      <selection activeCell="F31" sqref="F31"/>
    </sheetView>
  </sheetViews>
  <sheetFormatPr baseColWidth="10" defaultRowHeight="16" x14ac:dyDescent="0.2"/>
  <cols>
    <col min="2" max="2" width="19.33203125" customWidth="1"/>
    <col min="3" max="3" width="22.1640625" customWidth="1"/>
    <col min="4" max="4" width="19.83203125" customWidth="1"/>
    <col min="5" max="5" width="30.83203125" customWidth="1"/>
    <col min="6" max="6" width="30.1640625" customWidth="1"/>
    <col min="7" max="7" width="32.83203125" customWidth="1"/>
    <col min="8" max="8" width="28" customWidth="1"/>
    <col min="9" max="9" width="14.33203125" customWidth="1"/>
  </cols>
  <sheetData>
    <row r="1" spans="1:9" s="57" customFormat="1" ht="34" x14ac:dyDescent="0.2">
      <c r="A1" s="57" t="s">
        <v>29</v>
      </c>
      <c r="B1" s="56" t="s">
        <v>113</v>
      </c>
      <c r="C1" s="57" t="s">
        <v>114</v>
      </c>
      <c r="D1" s="57" t="s">
        <v>115</v>
      </c>
      <c r="E1" s="57" t="s">
        <v>116</v>
      </c>
      <c r="F1" s="57" t="s">
        <v>117</v>
      </c>
      <c r="G1" s="57" t="s">
        <v>118</v>
      </c>
      <c r="H1" s="57" t="s">
        <v>119</v>
      </c>
      <c r="I1" s="57" t="s">
        <v>109</v>
      </c>
    </row>
    <row r="2" spans="1:9" x14ac:dyDescent="0.2">
      <c r="A2" s="59">
        <v>2017</v>
      </c>
      <c r="B2" s="61" cm="1">
        <f t="array" aca="1" ref="B2" ca="1">INDIRECT("Лист5!F"&amp;221+(COLUMN()-COLUMN($A$1)))</f>
        <v>654304</v>
      </c>
      <c r="C2" s="61" cm="1">
        <f t="array" aca="1" ref="C2" ca="1">INDIRECT("Лист5!F"&amp;227+(COLUMN()-COLUMN($A$1)))</f>
        <v>385891</v>
      </c>
      <c r="D2" s="61" cm="1">
        <f t="array" aca="1" ref="D2" ca="1">INDIRECT("Лист5!F"&amp;227+(COLUMN()-COLUMN($A$1)))</f>
        <v>13739975</v>
      </c>
      <c r="E2" s="61" cm="1">
        <f t="array" aca="1" ref="E2" ca="1">INDIRECT("Лист5!F"&amp;227+(COLUMN()-COLUMN($A$1)))</f>
        <v>976432</v>
      </c>
      <c r="F2" s="61" cm="1">
        <f t="array" aca="1" ref="F2" ca="1">INDIRECT("Лист5!F"&amp;227+(COLUMN()-COLUMN($A$1)))</f>
        <v>19502</v>
      </c>
      <c r="G2" s="61" cm="1">
        <f t="array" aca="1" ref="G2" ca="1">INDIRECT("Лист5!F"&amp;227+(COLUMN()-COLUMN($A$1)))</f>
        <v>209692</v>
      </c>
      <c r="H2" s="61" cm="1">
        <f t="array" aca="1" ref="H2" ca="1">INDIRECT("Лист5!F"&amp;227+(COLUMN()-COLUMN($A$1)))</f>
        <v>2949025</v>
      </c>
      <c r="I2" s="61" cm="1">
        <f t="array" aca="1" ref="I2" ca="1">INDIRECT("Лист5!F"&amp;227+(COLUMN()-COLUMN($A$1)))</f>
        <v>243844</v>
      </c>
    </row>
    <row r="3" spans="1:9" x14ac:dyDescent="0.2">
      <c r="A3" s="59">
        <v>2018</v>
      </c>
      <c r="B3" s="61" cm="1">
        <f t="array" aca="1" ref="B3" ca="1">INDIRECT("Лист5!J"&amp;221+(COLUMN()-COLUMN($A$1)))</f>
        <v>765007</v>
      </c>
      <c r="C3" s="61" cm="1">
        <f t="array" aca="1" ref="C3" ca="1">INDIRECT("Лист5!J"&amp;227+(COLUMN()-COLUMN($A$1)))</f>
        <v>452048</v>
      </c>
      <c r="D3" s="61" cm="1">
        <f t="array" aca="1" ref="D3" ca="1">INDIRECT("Лист5!J"&amp;227+(COLUMN()-COLUMN($A$1)))</f>
        <v>33934278</v>
      </c>
      <c r="E3" s="61" cm="1">
        <f t="array" aca="1" ref="E3" ca="1">INDIRECT("Лист5!J"&amp;227+(COLUMN()-COLUMN($A$1)))</f>
        <v>907291</v>
      </c>
      <c r="F3" s="61" cm="1">
        <f t="array" aca="1" ref="F3" ca="1">INDIRECT("Лист5!J"&amp;227+(COLUMN()-COLUMN($A$1)))</f>
        <v>18078</v>
      </c>
      <c r="G3" s="61" cm="1">
        <f t="array" aca="1" ref="G3" ca="1">INDIRECT("Лист5!J"&amp;227+(COLUMN()-COLUMN($A$1)))</f>
        <v>210930</v>
      </c>
      <c r="H3" s="61" cm="1">
        <f t="array" aca="1" ref="H3" ca="1">INDIRECT("Лист5!J"&amp;227+(COLUMN()-COLUMN($A$1)))</f>
        <v>2369375</v>
      </c>
      <c r="I3" s="61" cm="1">
        <f t="array" aca="1" ref="I3" ca="1">INDIRECT("Лист5!J"&amp;227+(COLUMN()-COLUMN($A$1)))</f>
        <v>237815</v>
      </c>
    </row>
    <row r="4" spans="1:9" x14ac:dyDescent="0.2">
      <c r="A4" s="59">
        <v>2019</v>
      </c>
      <c r="B4" s="61" cm="1">
        <f t="array" aca="1" ref="B4" ca="1">INDIRECT("Лист5!N"&amp;221+(COLUMN()-COLUMN($A$1)))</f>
        <v>847936</v>
      </c>
      <c r="C4" s="61" cm="1">
        <f t="array" aca="1" ref="C4" ca="1">INDIRECT("Лист5!N"&amp;227+(COLUMN()-COLUMN($A$1)))</f>
        <v>335214</v>
      </c>
      <c r="D4" s="61" cm="1">
        <f t="array" aca="1" ref="D4" ca="1">INDIRECT("Лист5!N"&amp;227+(COLUMN()-COLUMN($A$1)))</f>
        <v>39245088</v>
      </c>
      <c r="E4" s="61" cm="1">
        <f t="array" aca="1" ref="E4" ca="1">INDIRECT("Лист5!N"&amp;227+(COLUMN()-COLUMN($A$1)))</f>
        <v>945442</v>
      </c>
      <c r="F4" s="61" cm="1">
        <f t="array" aca="1" ref="F4" ca="1">INDIRECT("Лист5!N"&amp;227+(COLUMN()-COLUMN($A$1)))</f>
        <v>13684</v>
      </c>
      <c r="G4" s="61" cm="1">
        <f t="array" aca="1" ref="G4" ca="1">INDIRECT("Лист5!N"&amp;227+(COLUMN()-COLUMN($A$1)))</f>
        <v>173300</v>
      </c>
      <c r="H4" s="61" cm="1">
        <f t="array" aca="1" ref="H4" ca="1">INDIRECT("Лист5!N"&amp;227+(COLUMN()-COLUMN($A$1)))</f>
        <v>2293388</v>
      </c>
      <c r="I4" s="61" cm="1">
        <f t="array" aca="1" ref="I4" ca="1">INDIRECT("Лист5!N"&amp;227+(COLUMN()-COLUMN($A$1)))</f>
        <v>290080</v>
      </c>
    </row>
    <row r="5" spans="1:9" x14ac:dyDescent="0.2">
      <c r="A5" s="59">
        <v>2020</v>
      </c>
      <c r="B5" s="61" cm="1">
        <f t="array" aca="1" ref="B5" ca="1">INDIRECT("Лист5!R"&amp;221+(COLUMN()-COLUMN($A$1)))</f>
        <v>1112356</v>
      </c>
      <c r="C5" s="61" cm="1">
        <f t="array" aca="1" ref="C5" ca="1">INDIRECT("Лист5!R"&amp;227+(COLUMN()-COLUMN($A$1)))</f>
        <v>301180</v>
      </c>
      <c r="D5" s="61" cm="1">
        <f t="array" aca="1" ref="D5" ca="1">INDIRECT("Лист5!R"&amp;227+(COLUMN()-COLUMN($A$1)))</f>
        <v>43091647</v>
      </c>
      <c r="E5" s="61" cm="1">
        <f t="array" aca="1" ref="E5" ca="1">INDIRECT("Лист5!R"&amp;227+(COLUMN()-COLUMN($A$1)))</f>
        <v>897968</v>
      </c>
      <c r="F5" s="61" cm="1">
        <f t="array" aca="1" ref="F5" ca="1">INDIRECT("Лист5!R"&amp;227+(COLUMN()-COLUMN($A$1)))</f>
        <v>13895</v>
      </c>
      <c r="G5" s="61" cm="1">
        <f t="array" aca="1" ref="G5" ca="1">INDIRECT("Лист5!R"&amp;227+(COLUMN()-COLUMN($A$1)))</f>
        <v>187638</v>
      </c>
      <c r="H5" s="61" cm="1">
        <f t="array" aca="1" ref="H5" ca="1">INDIRECT("Лист5!R"&amp;227+(COLUMN()-COLUMN($A$1)))</f>
        <v>2070686</v>
      </c>
      <c r="I5" s="61" cm="1">
        <f t="array" aca="1" ref="I5" ca="1">INDIRECT("Лист5!R"&amp;227+(COLUMN()-COLUMN($A$1)))</f>
        <v>304726</v>
      </c>
    </row>
    <row r="6" spans="1:9" x14ac:dyDescent="0.2">
      <c r="A6" s="59">
        <v>2021</v>
      </c>
      <c r="B6" s="61" cm="1">
        <f t="array" aca="1" ref="B6" ca="1">INDIRECT("Лист5!V"&amp;221+(COLUMN()-COLUMN($A$1)))</f>
        <v>1865884</v>
      </c>
      <c r="C6" s="61" cm="1">
        <f t="array" aca="1" ref="C6" ca="1">INDIRECT("Лист5!V"&amp;227+(COLUMN()-COLUMN($A$1)))</f>
        <v>344284</v>
      </c>
      <c r="D6" s="61" cm="1">
        <f t="array" aca="1" ref="D6" ca="1">INDIRECT("Лист5!V"&amp;227+(COLUMN()-COLUMN($A$1)))</f>
        <v>47084420</v>
      </c>
      <c r="E6" s="61" cm="1">
        <f t="array" aca="1" ref="E6" ca="1">INDIRECT("Лист5!V"&amp;227+(COLUMN()-COLUMN($A$1)))</f>
        <v>948016</v>
      </c>
      <c r="F6" s="61" cm="1">
        <f t="array" aca="1" ref="F6" ca="1">INDIRECT("Лист5!V"&amp;227+(COLUMN()-COLUMN($A$1)))</f>
        <v>15276</v>
      </c>
      <c r="G6" s="61" cm="1">
        <f t="array" aca="1" ref="G6" ca="1">INDIRECT("Лист5!V"&amp;227+(COLUMN()-COLUMN($A$1)))</f>
        <v>188432</v>
      </c>
      <c r="H6" s="61" cm="1">
        <f t="array" aca="1" ref="H6" ca="1">INDIRECT("Лист5!V"&amp;227+(COLUMN()-COLUMN($A$1)))</f>
        <v>2151231</v>
      </c>
      <c r="I6" s="61" cm="1">
        <f t="array" aca="1" ref="I6" ca="1">INDIRECT("Лист5!V"&amp;227+(COLUMN()-COLUMN($A$1)))</f>
        <v>468303</v>
      </c>
    </row>
    <row r="7" spans="1:9" x14ac:dyDescent="0.2">
      <c r="A7" s="59">
        <v>2022</v>
      </c>
      <c r="B7" s="61" cm="1">
        <f t="array" aca="1" ref="B7" ca="1">INDIRECT("Лист5!Z"&amp;221+(COLUMN()-COLUMN($A$1)))</f>
        <v>1754912</v>
      </c>
      <c r="C7" s="61" cm="1">
        <f t="array" aca="1" ref="C7" ca="1">INDIRECT("Лист5!Z"&amp;227+(COLUMN()-COLUMN($A$1)))</f>
        <v>380461</v>
      </c>
      <c r="D7" s="61" cm="1">
        <f t="array" aca="1" ref="D7" ca="1">INDIRECT("Лист5!Z"&amp;227+(COLUMN()-COLUMN($A$1)))</f>
        <v>48063573</v>
      </c>
      <c r="E7" s="61" cm="1">
        <f t="array" aca="1" ref="E7" ca="1">INDIRECT("Лист5!Z"&amp;227+(COLUMN()-COLUMN($A$1)))</f>
        <v>947827</v>
      </c>
      <c r="F7" s="61" cm="1">
        <f t="array" aca="1" ref="F7" ca="1">INDIRECT("Лист5!Z"&amp;227+(COLUMN()-COLUMN($A$1)))</f>
        <v>16432</v>
      </c>
      <c r="G7" s="61" cm="1">
        <f t="array" aca="1" ref="G7" ca="1">INDIRECT("Лист5!Z"&amp;227+(COLUMN()-COLUMN($A$1)))</f>
        <v>236925</v>
      </c>
      <c r="H7" s="61" cm="1">
        <f t="array" aca="1" ref="H7" ca="1">INDIRECT("Лист5!Z"&amp;227+(COLUMN()-COLUMN($A$1)))</f>
        <v>2283943</v>
      </c>
      <c r="I7" s="61" cm="1">
        <f t="array" aca="1" ref="I7" ca="1">INDIRECT("Лист5!Z"&amp;227+(COLUMN()-COLUMN($A$1)))</f>
        <v>342954</v>
      </c>
    </row>
    <row r="8" spans="1:9" x14ac:dyDescent="0.2">
      <c r="A8" s="59">
        <v>2023</v>
      </c>
      <c r="B8" s="61" cm="1">
        <f t="array" aca="1" ref="B8" ca="1">INDIRECT("Лист5!AD"&amp;221+(COLUMN()-COLUMN($A$1)))</f>
        <v>1827921</v>
      </c>
      <c r="C8" s="61" cm="1">
        <f t="array" aca="1" ref="C8" ca="1">INDIRECT("Лист5!AD"&amp;227+(COLUMN()-COLUMN($A$1)))</f>
        <v>372927</v>
      </c>
      <c r="D8" s="61" cm="1">
        <f t="array" aca="1" ref="D8" ca="1">INDIRECT("Лист5!AD"&amp;227+(COLUMN()-COLUMN($A$1)))</f>
        <v>46332690</v>
      </c>
      <c r="E8" s="61" cm="1">
        <f t="array" aca="1" ref="E8" ca="1">INDIRECT("Лист5!AD"&amp;227+(COLUMN()-COLUMN($A$1)))</f>
        <v>810872</v>
      </c>
      <c r="F8" s="61" cm="1">
        <f t="array" aca="1" ref="F8" ca="1">INDIRECT("Лист5!AD"&amp;227+(COLUMN()-COLUMN($A$1)))</f>
        <v>16275</v>
      </c>
      <c r="G8" s="61" cm="1">
        <f t="array" aca="1" ref="G8" ca="1">INDIRECT("Лист5!AD"&amp;227+(COLUMN()-COLUMN($A$1)))</f>
        <v>201779</v>
      </c>
      <c r="H8" s="61" cm="1">
        <f t="array" aca="1" ref="H8" ca="1">INDIRECT("Лист5!AD"&amp;227+(COLUMN()-COLUMN($A$1)))</f>
        <v>2047108</v>
      </c>
      <c r="I8" s="61" cm="1">
        <f t="array" aca="1" ref="I8" ca="1">INDIRECT("Лист5!AD"&amp;227+(COLUMN()-COLUMN($A$1)))</f>
        <v>384360</v>
      </c>
    </row>
    <row r="9" spans="1:9" x14ac:dyDescent="0.2">
      <c r="A9" s="59">
        <v>2024</v>
      </c>
      <c r="B9" s="61" cm="1">
        <f t="array" aca="1" ref="B9" ca="1">INDIRECT("Лист5!AH"&amp;221+(COLUMN()-COLUMN($A$1)))</f>
        <v>3298677</v>
      </c>
      <c r="C9" s="61" cm="1">
        <f t="array" aca="1" ref="C9" ca="1">INDIRECT("Лист5!AH"&amp;227+(COLUMN()-COLUMN($A$1)))</f>
        <v>392890</v>
      </c>
      <c r="D9" s="61" cm="1">
        <f t="array" aca="1" ref="D9" ca="1">INDIRECT("Лист5!AH"&amp;227+(COLUMN()-COLUMN($A$1)))</f>
        <v>48246700</v>
      </c>
      <c r="E9" s="61" cm="1">
        <f t="array" aca="1" ref="E9" ca="1">INDIRECT("Лист5!AH"&amp;227+(COLUMN()-COLUMN($A$1)))</f>
        <v>872847</v>
      </c>
      <c r="F9" s="61" cm="1">
        <f t="array" aca="1" ref="F9" ca="1">INDIRECT("Лист5!AH"&amp;227+(COLUMN()-COLUMN($A$1)))</f>
        <v>22585</v>
      </c>
      <c r="G9" s="61" cm="1">
        <f t="array" aca="1" ref="G9" ca="1">INDIRECT("Лист5!AH"&amp;227+(COLUMN()-COLUMN($A$1)))</f>
        <v>274675</v>
      </c>
      <c r="H9" s="61" cm="1">
        <f t="array" aca="1" ref="H9" ca="1">INDIRECT("Лист5!AH"&amp;227+(COLUMN()-COLUMN($A$1)))</f>
        <v>2216610</v>
      </c>
      <c r="I9" s="61" cm="1">
        <f t="array" aca="1" ref="I9" ca="1">INDIRECT("Лист5!AH"&amp;227+(COLUMN()-COLUMN($A$1)))</f>
        <v>472941</v>
      </c>
    </row>
    <row r="10" spans="1:9" x14ac:dyDescent="0.2">
      <c r="A10" s="59">
        <v>2025</v>
      </c>
      <c r="B10" s="61" cm="1">
        <f t="array" aca="1" ref="B10" ca="1">INDIRECT("Лист5!AL"&amp;221+(COLUMN()-COLUMN($A$1)))</f>
        <v>2506373</v>
      </c>
      <c r="C10" s="61" cm="1">
        <f t="array" aca="1" ref="C10" ca="1">INDIRECT("Лист5!AL"&amp;227+(COLUMN()-COLUMN($A$1)))</f>
        <v>411499</v>
      </c>
      <c r="D10" s="61" cm="1">
        <f t="array" aca="1" ref="D10" ca="1">INDIRECT("Лист5!AL"&amp;227+(COLUMN()-COLUMN($A$1)))</f>
        <v>59669726</v>
      </c>
      <c r="E10" s="61" cm="1">
        <f t="array" aca="1" ref="E10" ca="1">INDIRECT("Лист5!AL"&amp;227+(COLUMN()-COLUMN($A$1)))</f>
        <v>1041468</v>
      </c>
      <c r="F10" s="61" cm="1">
        <f t="array" aca="1" ref="F10" ca="1">INDIRECT("Лист5!AL"&amp;227+(COLUMN()-COLUMN($A$1)))</f>
        <v>23145</v>
      </c>
      <c r="G10" s="61" cm="1">
        <f t="array" aca="1" ref="G10" ca="1">INDIRECT("Лист5!AL"&amp;227+(COLUMN()-COLUMN($A$1)))</f>
        <v>228783</v>
      </c>
      <c r="H10" s="61" cm="1">
        <f t="array" aca="1" ref="H10" ca="1">INDIRECT("Лист5!AL"&amp;227+(COLUMN()-COLUMN($A$1)))</f>
        <v>2086076</v>
      </c>
      <c r="I10" s="61" cm="1">
        <f t="array" aca="1" ref="I10" ca="1">INDIRECT("Лист5!AL"&amp;227+(COLUMN()-COLUMN($A$1)))</f>
        <v>684711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26CA-3CFF-A743-B1AD-4A5A8ACA8AD3}">
  <dimension ref="A1:I10"/>
  <sheetViews>
    <sheetView tabSelected="1" workbookViewId="0">
      <selection activeCell="F26" sqref="F26"/>
    </sheetView>
  </sheetViews>
  <sheetFormatPr baseColWidth="10" defaultRowHeight="16" x14ac:dyDescent="0.2"/>
  <cols>
    <col min="2" max="2" width="19.33203125" customWidth="1"/>
    <col min="3" max="4" width="20.1640625" customWidth="1"/>
    <col min="5" max="5" width="35.5" customWidth="1"/>
    <col min="6" max="6" width="36.5" customWidth="1"/>
    <col min="7" max="7" width="25.33203125" customWidth="1"/>
    <col min="8" max="8" width="26" customWidth="1"/>
  </cols>
  <sheetData>
    <row r="1" spans="1:9" s="57" customFormat="1" ht="34" x14ac:dyDescent="0.2">
      <c r="A1" s="57" t="s">
        <v>29</v>
      </c>
      <c r="B1" s="56" t="s">
        <v>113</v>
      </c>
      <c r="C1" s="57" t="s">
        <v>114</v>
      </c>
      <c r="D1" s="57" t="s">
        <v>115</v>
      </c>
      <c r="E1" s="57" t="s">
        <v>116</v>
      </c>
      <c r="F1" s="57" t="s">
        <v>117</v>
      </c>
      <c r="G1" s="57" t="s">
        <v>118</v>
      </c>
      <c r="H1" s="57" t="s">
        <v>119</v>
      </c>
      <c r="I1" s="57" t="s">
        <v>109</v>
      </c>
    </row>
    <row r="2" spans="1:9" x14ac:dyDescent="0.2">
      <c r="A2" s="59">
        <v>2017</v>
      </c>
      <c r="B2" s="61" cm="1">
        <f t="array" aca="1" ref="B2" ca="1">INDIRECT("Лист5!F"&amp;238+(COLUMN()-COLUMN($A$1)))</f>
        <v>36486.836000000003</v>
      </c>
      <c r="C2" s="61" cm="1">
        <f t="array" aca="1" ref="C2" ca="1">INDIRECT("Лист5!F"&amp;244+(COLUMN()-COLUMN($A$1)))</f>
        <v>14367.296</v>
      </c>
      <c r="D2" s="61" cm="1">
        <f t="array" aca="1" ref="D2" ca="1">INDIRECT("Лист5!F"&amp;244+(COLUMN()-COLUMN($A$1)))</f>
        <v>105811.23699999999</v>
      </c>
      <c r="E2" s="61" cm="1">
        <f t="array" aca="1" ref="E2" ca="1">INDIRECT("Лист5!F"&amp;244+(COLUMN()-COLUMN($A$1)))</f>
        <v>83343.914999999994</v>
      </c>
      <c r="F2" s="61" cm="1">
        <f t="array" aca="1" ref="F2" ca="1">INDIRECT("Лист5!F"&amp;244+(COLUMN()-COLUMN($A$1)))</f>
        <v>36598.288999999997</v>
      </c>
      <c r="G2" s="61" cm="1">
        <f t="array" aca="1" ref="G2" ca="1">INDIRECT("Лист5!F"&amp;244+(COLUMN()-COLUMN($A$1)))</f>
        <v>8233.4969999999994</v>
      </c>
      <c r="H2" s="61" cm="1">
        <f t="array" aca="1" ref="H2" ca="1">INDIRECT("Лист5!F"&amp;244+(COLUMN()-COLUMN($A$1)))</f>
        <v>175516.25200000001</v>
      </c>
      <c r="I2" s="61" cm="1">
        <f t="array" aca="1" ref="I2" ca="1">INDIRECT("Лист5!F"&amp;244+(COLUMN()-COLUMN($A$1)))</f>
        <v>49364.804000000004</v>
      </c>
    </row>
    <row r="3" spans="1:9" x14ac:dyDescent="0.2">
      <c r="A3" s="59">
        <v>2018</v>
      </c>
      <c r="B3" s="61" cm="1">
        <f t="array" aca="1" ref="B3" ca="1">INDIRECT("Лист5!J"&amp;238+(COLUMN()-COLUMN($A$1)))</f>
        <v>67070.481612999996</v>
      </c>
      <c r="C3" s="61" cm="1">
        <f t="array" aca="1" ref="C3" ca="1">INDIRECT("Лист5!J"&amp;244+(COLUMN()-COLUMN($A$1)))</f>
        <v>16403.952648930001</v>
      </c>
      <c r="D3" s="61" cm="1">
        <f t="array" aca="1" ref="D3" ca="1">INDIRECT("Лист5!J"&amp;244+(COLUMN()-COLUMN($A$1)))</f>
        <v>111930.61414372</v>
      </c>
      <c r="E3" s="61" cm="1">
        <f t="array" aca="1" ref="E3" ca="1">INDIRECT("Лист5!J"&amp;244+(COLUMN()-COLUMN($A$1)))</f>
        <v>83254.170915580005</v>
      </c>
      <c r="F3" s="61" cm="1">
        <f t="array" aca="1" ref="F3" ca="1">INDIRECT("Лист5!J"&amp;244+(COLUMN()-COLUMN($A$1)))</f>
        <v>49322.247793440001</v>
      </c>
      <c r="G3" s="61" cm="1">
        <f t="array" aca="1" ref="G3" ca="1">INDIRECT("Лист5!J"&amp;244+(COLUMN()-COLUMN($A$1)))</f>
        <v>8964.4475046999996</v>
      </c>
      <c r="H3" s="61" cm="1">
        <f t="array" aca="1" ref="H3" ca="1">INDIRECT("Лист5!J"&amp;244+(COLUMN()-COLUMN($A$1)))</f>
        <v>137901.72481086999</v>
      </c>
      <c r="I3" s="61" cm="1">
        <f t="array" aca="1" ref="I3" ca="1">INDIRECT("Лист5!J"&amp;244+(COLUMN()-COLUMN($A$1)))</f>
        <v>47620.372495270014</v>
      </c>
    </row>
    <row r="4" spans="1:9" x14ac:dyDescent="0.2">
      <c r="A4" s="59">
        <v>2019</v>
      </c>
      <c r="B4" s="61" cm="1">
        <f t="array" aca="1" ref="B4" ca="1">INDIRECT("Лист5!N"&amp;238+(COLUMN()-COLUMN($A$1)))</f>
        <v>133402.65736426</v>
      </c>
      <c r="C4" s="61" cm="1">
        <f t="array" aca="1" ref="C4" ca="1">INDIRECT("Лист5!N"&amp;244+(COLUMN()-COLUMN($A$1)))</f>
        <v>17289.314949600001</v>
      </c>
      <c r="D4" s="61" cm="1">
        <f t="array" aca="1" ref="D4" ca="1">INDIRECT("Лист5!N"&amp;244+(COLUMN()-COLUMN($A$1)))</f>
        <v>126495.45604139</v>
      </c>
      <c r="E4" s="61" cm="1">
        <f t="array" aca="1" ref="E4" ca="1">INDIRECT("Лист5!N"&amp;244+(COLUMN()-COLUMN($A$1)))</f>
        <v>97207.977328720008</v>
      </c>
      <c r="F4" s="61" cm="1">
        <f t="array" aca="1" ref="F4" ca="1">INDIRECT("Лист5!N"&amp;244+(COLUMN()-COLUMN($A$1)))</f>
        <v>28891.0271097</v>
      </c>
      <c r="G4" s="61" cm="1">
        <f t="array" aca="1" ref="G4" ca="1">INDIRECT("Лист5!N"&amp;244+(COLUMN()-COLUMN($A$1)))</f>
        <v>8840.2089906799993</v>
      </c>
      <c r="H4" s="61" cm="1">
        <f t="array" aca="1" ref="H4" ca="1">INDIRECT("Лист5!N"&amp;244+(COLUMN()-COLUMN($A$1)))</f>
        <v>142379.15016813</v>
      </c>
      <c r="I4" s="61" cm="1">
        <f t="array" aca="1" ref="I4" ca="1">INDIRECT("Лист5!N"&amp;244+(COLUMN()-COLUMN($A$1)))</f>
        <v>56359.627658490033</v>
      </c>
    </row>
    <row r="5" spans="1:9" x14ac:dyDescent="0.2">
      <c r="A5" s="59">
        <v>2020</v>
      </c>
      <c r="B5" s="61" cm="1">
        <f t="array" aca="1" ref="B5" ca="1">INDIRECT("Лист5!R"&amp;238+(COLUMN()-COLUMN($A$1)))</f>
        <v>204495.68687437</v>
      </c>
      <c r="C5" s="61" cm="1">
        <f t="array" aca="1" ref="C5" ca="1">INDIRECT("Лист5!R"&amp;244+(COLUMN()-COLUMN($A$1)))</f>
        <v>19228.290113820003</v>
      </c>
      <c r="D5" s="61" cm="1">
        <f t="array" aca="1" ref="D5" ca="1">INDIRECT("Лист5!R"&amp;244+(COLUMN()-COLUMN($A$1)))</f>
        <v>118206.69381548</v>
      </c>
      <c r="E5" s="61" cm="1">
        <f t="array" aca="1" ref="E5" ca="1">INDIRECT("Лист5!R"&amp;244+(COLUMN()-COLUMN($A$1)))</f>
        <v>97983.359858419994</v>
      </c>
      <c r="F5" s="61" cm="1">
        <f t="array" aca="1" ref="F5" ca="1">INDIRECT("Лист5!R"&amp;244+(COLUMN()-COLUMN($A$1)))</f>
        <v>22292.81204484</v>
      </c>
      <c r="G5" s="61" cm="1">
        <f t="array" aca="1" ref="G5" ca="1">INDIRECT("Лист5!R"&amp;244+(COLUMN()-COLUMN($A$1)))</f>
        <v>8651.6359969799996</v>
      </c>
      <c r="H5" s="61" cm="1">
        <f t="array" aca="1" ref="H5" ca="1">INDIRECT("Лист5!R"&amp;244+(COLUMN()-COLUMN($A$1)))</f>
        <v>137371.39752917</v>
      </c>
      <c r="I5" s="61" cm="1">
        <f t="array" aca="1" ref="I5" ca="1">INDIRECT("Лист5!R"&amp;244+(COLUMN()-COLUMN($A$1)))</f>
        <v>50255.648444510036</v>
      </c>
    </row>
    <row r="6" spans="1:9" x14ac:dyDescent="0.2">
      <c r="A6" s="59">
        <v>2021</v>
      </c>
      <c r="B6" s="61" cm="1">
        <f t="array" aca="1" ref="B6" ca="1">INDIRECT("Лист5!V"&amp;238+(COLUMN()-COLUMN($A$1)))</f>
        <v>288328.59774344997</v>
      </c>
      <c r="C6" s="61" cm="1">
        <f t="array" aca="1" ref="C6" ca="1">INDIRECT("Лист5!V"&amp;244+(COLUMN()-COLUMN($A$1)))</f>
        <v>26928.83608958</v>
      </c>
      <c r="D6" s="61" cm="1">
        <f t="array" aca="1" ref="D6" ca="1">INDIRECT("Лист5!V"&amp;244+(COLUMN()-COLUMN($A$1)))</f>
        <v>142205.34552638998</v>
      </c>
      <c r="E6" s="61" cm="1">
        <f t="array" aca="1" ref="E6" ca="1">INDIRECT("Лист5!V"&amp;244+(COLUMN()-COLUMN($A$1)))</f>
        <v>109260.95090708999</v>
      </c>
      <c r="F6" s="61" cm="1">
        <f t="array" aca="1" ref="F6" ca="1">INDIRECT("Лист5!V"&amp;244+(COLUMN()-COLUMN($A$1)))</f>
        <v>22002.961541080003</v>
      </c>
      <c r="G6" s="61" cm="1">
        <f t="array" aca="1" ref="G6" ca="1">INDIRECT("Лист5!V"&amp;244+(COLUMN()-COLUMN($A$1)))</f>
        <v>9084.8180861199999</v>
      </c>
      <c r="H6" s="61" cm="1">
        <f t="array" aca="1" ref="H6" ca="1">INDIRECT("Лист5!V"&amp;244+(COLUMN()-COLUMN($A$1)))</f>
        <v>143555.73235501</v>
      </c>
      <c r="I6" s="61" cm="1">
        <f t="array" aca="1" ref="I6" ca="1">INDIRECT("Лист5!V"&amp;244+(COLUMN()-COLUMN($A$1)))</f>
        <v>55606.610116599913</v>
      </c>
    </row>
    <row r="7" spans="1:9" x14ac:dyDescent="0.2">
      <c r="A7" s="59">
        <v>2022</v>
      </c>
      <c r="B7" s="61" cm="1">
        <f t="array" aca="1" ref="B7" ca="1">INDIRECT("Лист5!Z"&amp;238+(COLUMN()-COLUMN($A$1)))</f>
        <v>352200.50776141003</v>
      </c>
      <c r="C7" s="61" cm="1">
        <f t="array" aca="1" ref="C7" ca="1">INDIRECT("Лист5!Z"&amp;244+(COLUMN()-COLUMN($A$1)))</f>
        <v>33092.666101199997</v>
      </c>
      <c r="D7" s="61" cm="1">
        <f t="array" aca="1" ref="D7" ca="1">INDIRECT("Лист5!Z"&amp;244+(COLUMN()-COLUMN($A$1)))</f>
        <v>156051.34303102997</v>
      </c>
      <c r="E7" s="61" cm="1">
        <f t="array" aca="1" ref="E7" ca="1">INDIRECT("Лист5!Z"&amp;244+(COLUMN()-COLUMN($A$1)))</f>
        <v>121548.73365151002</v>
      </c>
      <c r="F7" s="61" cm="1">
        <f t="array" aca="1" ref="F7" ca="1">INDIRECT("Лист5!Z"&amp;244+(COLUMN()-COLUMN($A$1)))</f>
        <v>30679.097283370003</v>
      </c>
      <c r="G7" s="61" cm="1">
        <f t="array" aca="1" ref="G7" ca="1">INDIRECT("Лист5!Z"&amp;244+(COLUMN()-COLUMN($A$1)))</f>
        <v>10363.95804707</v>
      </c>
      <c r="H7" s="61" cm="1">
        <f t="array" aca="1" ref="H7" ca="1">INDIRECT("Лист5!Z"&amp;244+(COLUMN()-COLUMN($A$1)))</f>
        <v>159834.13138627002</v>
      </c>
      <c r="I7" s="61" cm="1">
        <f t="array" aca="1" ref="I7" ca="1">INDIRECT("Лист5!Z"&amp;244+(COLUMN()-COLUMN($A$1)))</f>
        <v>29448.342966500117</v>
      </c>
    </row>
    <row r="8" spans="1:9" x14ac:dyDescent="0.2">
      <c r="A8" s="59">
        <v>2023</v>
      </c>
      <c r="B8" s="61" cm="1">
        <f t="array" aca="1" ref="B8" ca="1">INDIRECT("Лист5!AD"&amp;238+(COLUMN()-COLUMN($A$1)))</f>
        <v>469130.99465816002</v>
      </c>
      <c r="C8" s="61" cm="1">
        <f t="array" aca="1" ref="C8" ca="1">INDIRECT("Лист5!AD"&amp;244+(COLUMN()-COLUMN($A$1)))</f>
        <v>31866.631376759997</v>
      </c>
      <c r="D8" s="61" cm="1">
        <f t="array" aca="1" ref="D8" ca="1">INDIRECT("Лист5!AD"&amp;244+(COLUMN()-COLUMN($A$1)))</f>
        <v>169137.1561349</v>
      </c>
      <c r="E8" s="61" cm="1">
        <f t="array" aca="1" ref="E8" ca="1">INDIRECT("Лист5!AD"&amp;244+(COLUMN()-COLUMN($A$1)))</f>
        <v>129503.43674003001</v>
      </c>
      <c r="F8" s="61" cm="1">
        <f t="array" aca="1" ref="F8" ca="1">INDIRECT("Лист5!AD"&amp;244+(COLUMN()-COLUMN($A$1)))</f>
        <v>30082.413087230001</v>
      </c>
      <c r="G8" s="61" cm="1">
        <f t="array" aca="1" ref="G8" ca="1">INDIRECT("Лист5!AD"&amp;244+(COLUMN()-COLUMN($A$1)))</f>
        <v>10862.114572119999</v>
      </c>
      <c r="H8" s="61" cm="1">
        <f t="array" aca="1" ref="H8" ca="1">INDIRECT("Лист5!AD"&amp;244+(COLUMN()-COLUMN($A$1)))</f>
        <v>161592.19856138001</v>
      </c>
      <c r="I8" s="61" cm="1">
        <f t="array" aca="1" ref="I8" ca="1">INDIRECT("Лист5!AD"&amp;244+(COLUMN()-COLUMN($A$1)))</f>
        <v>42207.905188090052</v>
      </c>
    </row>
    <row r="9" spans="1:9" x14ac:dyDescent="0.2">
      <c r="A9" s="59">
        <v>2024</v>
      </c>
      <c r="B9" s="61" cm="1">
        <f t="array" aca="1" ref="B9" ca="1">INDIRECT("Лист5!AH"&amp;238+(COLUMN()-COLUMN($A$1)))</f>
        <v>1412059.0321161302</v>
      </c>
      <c r="C9" s="61" cm="1">
        <f t="array" aca="1" ref="C9" ca="1">INDIRECT("Лист5!AH"&amp;244+(COLUMN()-COLUMN($A$1)))</f>
        <v>36260.645378679998</v>
      </c>
      <c r="D9" s="61" cm="1">
        <f t="array" aca="1" ref="D9" ca="1">INDIRECT("Лист5!AH"&amp;244+(COLUMN()-COLUMN($A$1)))</f>
        <v>191886.12239638998</v>
      </c>
      <c r="E9" s="61" cm="1">
        <f t="array" aca="1" ref="E9" ca="1">INDIRECT("Лист5!AH"&amp;244+(COLUMN()-COLUMN($A$1)))</f>
        <v>165368.67022684999</v>
      </c>
      <c r="F9" s="61" cm="1">
        <f t="array" aca="1" ref="F9" ca="1">INDIRECT("Лист5!AH"&amp;244+(COLUMN()-COLUMN($A$1)))</f>
        <v>65009.6738129</v>
      </c>
      <c r="G9" s="61" cm="1">
        <f t="array" aca="1" ref="G9" ca="1">INDIRECT("Лист5!AH"&amp;244+(COLUMN()-COLUMN($A$1)))</f>
        <v>17922.90986666</v>
      </c>
      <c r="H9" s="61" cm="1">
        <f t="array" aca="1" ref="H9" ca="1">INDIRECT("Лист5!AH"&amp;244+(COLUMN()-COLUMN($A$1)))</f>
        <v>202101.40253411001</v>
      </c>
      <c r="I9" s="61" cm="1">
        <f t="array" aca="1" ref="I9" ca="1">INDIRECT("Лист5!AH"&amp;244+(COLUMN()-COLUMN($A$1)))</f>
        <v>58201.415846839576</v>
      </c>
    </row>
    <row r="10" spans="1:9" x14ac:dyDescent="0.2">
      <c r="A10" s="59">
        <v>2025</v>
      </c>
      <c r="B10" s="61" cm="1">
        <f t="array" aca="1" ref="B10" ca="1">INDIRECT("Лист5!AL"&amp;238+(COLUMN()-COLUMN($A$1)))</f>
        <v>1662755.2973172895</v>
      </c>
      <c r="C10" s="61" cm="1">
        <f t="array" aca="1" ref="C10" ca="1">INDIRECT("Лист5!AL"&amp;244+(COLUMN()-COLUMN($A$1)))</f>
        <v>37031.358104999999</v>
      </c>
      <c r="D10" s="61" cm="1">
        <f t="array" aca="1" ref="D10" ca="1">INDIRECT("Лист5!AL"&amp;244+(COLUMN()-COLUMN($A$1)))</f>
        <v>233417.81503705002</v>
      </c>
      <c r="E10" s="61" cm="1">
        <f t="array" aca="1" ref="E10" ca="1">INDIRECT("Лист5!AL"&amp;244+(COLUMN()-COLUMN($A$1)))</f>
        <v>217486.60858724001</v>
      </c>
      <c r="F10" s="61" cm="1">
        <f t="array" aca="1" ref="F10" ca="1">INDIRECT("Лист5!AL"&amp;244+(COLUMN()-COLUMN($A$1)))</f>
        <v>65461.492677570001</v>
      </c>
      <c r="G10" s="61" cm="1">
        <f t="array" aca="1" ref="G10" ca="1">INDIRECT("Лист5!AL"&amp;244+(COLUMN()-COLUMN($A$1)))</f>
        <v>15606.98263565</v>
      </c>
      <c r="H10" s="61" cm="1">
        <f t="array" aca="1" ref="H10" ca="1">INDIRECT("Лист5!AL"&amp;244+(COLUMN()-COLUMN($A$1)))</f>
        <v>221031.83100130002</v>
      </c>
      <c r="I10" s="61" cm="1">
        <f t="array" aca="1" ref="I10" ca="1">INDIRECT("Лист5!AL"&amp;244+(COLUMN()-COLUMN($A$1)))</f>
        <v>95928.040658810234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C2D0-C5D8-DB41-BEE9-C7B7991629BB}">
  <dimension ref="A1:AM252"/>
  <sheetViews>
    <sheetView topLeftCell="AB9" zoomScale="118" zoomScaleNormal="91" workbookViewId="0">
      <selection activeCell="AL23" sqref="AL23"/>
    </sheetView>
  </sheetViews>
  <sheetFormatPr baseColWidth="10" defaultRowHeight="16" x14ac:dyDescent="0.2"/>
  <cols>
    <col min="1" max="1" width="180.6640625" style="4" bestFit="1" customWidth="1"/>
    <col min="2" max="2" width="12.5" style="4" bestFit="1" customWidth="1"/>
    <col min="3" max="4" width="7.1640625" style="4" bestFit="1" customWidth="1"/>
    <col min="5" max="7" width="13.6640625" style="4" bestFit="1" customWidth="1"/>
    <col min="8" max="8" width="7.1640625" style="4" bestFit="1" customWidth="1"/>
    <col min="9" max="9" width="8.33203125" style="4" customWidth="1"/>
    <col min="10" max="10" width="8.5" style="4" customWidth="1"/>
    <col min="11" max="12" width="7.1640625" style="4" bestFit="1" customWidth="1"/>
    <col min="13" max="13" width="7.5" style="4" bestFit="1" customWidth="1"/>
    <col min="14" max="14" width="13.6640625" style="4" bestFit="1" customWidth="1"/>
    <col min="15" max="15" width="7.1640625" style="4" bestFit="1" customWidth="1"/>
    <col min="16" max="17" width="14" style="4" bestFit="1" customWidth="1"/>
    <col min="18" max="18" width="13.6640625" style="4" bestFit="1" customWidth="1"/>
    <col min="19" max="19" width="7.1640625" style="4" bestFit="1" customWidth="1"/>
    <col min="20" max="20" width="13.6640625" style="4" bestFit="1" customWidth="1"/>
    <col min="21" max="21" width="7.5" style="4" bestFit="1" customWidth="1"/>
    <col min="22" max="22" width="14.33203125" style="4" bestFit="1" customWidth="1"/>
    <col min="23" max="25" width="7.5" style="4" bestFit="1" customWidth="1"/>
    <col min="26" max="26" width="14" style="4" bestFit="1" customWidth="1"/>
    <col min="27" max="27" width="7.1640625" style="4" bestFit="1" customWidth="1"/>
    <col min="28" max="29" width="7.5" style="4" bestFit="1" customWidth="1"/>
    <col min="30" max="30" width="14" style="4" bestFit="1" customWidth="1"/>
    <col min="31" max="31" width="7.1640625" style="4" bestFit="1" customWidth="1"/>
    <col min="32" max="33" width="7.5" style="4" bestFit="1" customWidth="1"/>
    <col min="34" max="34" width="14" style="4" bestFit="1" customWidth="1"/>
    <col min="35" max="35" width="7.1640625" style="4" bestFit="1" customWidth="1"/>
    <col min="36" max="37" width="7.5" style="4" bestFit="1" customWidth="1"/>
    <col min="38" max="38" width="9.5" style="4" customWidth="1"/>
    <col min="39" max="16384" width="10.83203125" style="4"/>
  </cols>
  <sheetData>
    <row r="1" spans="1:38" x14ac:dyDescent="0.2">
      <c r="A1" s="5" t="s">
        <v>36</v>
      </c>
      <c r="B1" s="6" t="s">
        <v>37</v>
      </c>
      <c r="C1" s="7">
        <v>42825</v>
      </c>
      <c r="D1" s="7">
        <v>42916</v>
      </c>
      <c r="E1" s="7">
        <v>43008</v>
      </c>
      <c r="F1" s="8">
        <v>43100</v>
      </c>
      <c r="G1" s="7">
        <v>43190</v>
      </c>
      <c r="H1" s="7">
        <v>43281</v>
      </c>
      <c r="I1" s="7">
        <v>43373</v>
      </c>
      <c r="J1" s="8">
        <v>43465</v>
      </c>
      <c r="K1" s="7">
        <v>43555</v>
      </c>
      <c r="L1" s="7">
        <v>43646</v>
      </c>
      <c r="M1" s="7">
        <v>43738</v>
      </c>
      <c r="N1" s="8">
        <v>43830</v>
      </c>
      <c r="O1" s="7">
        <v>43921</v>
      </c>
      <c r="P1" s="7">
        <v>44012</v>
      </c>
      <c r="Q1" s="7">
        <v>44104</v>
      </c>
      <c r="R1" s="8">
        <v>44196</v>
      </c>
      <c r="S1" s="7">
        <v>44286</v>
      </c>
      <c r="T1" s="7">
        <v>44377</v>
      </c>
      <c r="U1" s="7">
        <v>44469</v>
      </c>
      <c r="V1" s="8">
        <v>44561</v>
      </c>
      <c r="W1" s="7">
        <v>44651</v>
      </c>
      <c r="X1" s="7">
        <v>44742</v>
      </c>
      <c r="Y1" s="7">
        <v>44834</v>
      </c>
      <c r="Z1" s="8">
        <v>44926</v>
      </c>
      <c r="AA1" s="7">
        <v>45016</v>
      </c>
      <c r="AB1" s="7">
        <v>45107</v>
      </c>
      <c r="AC1" s="7">
        <v>45199</v>
      </c>
      <c r="AD1" s="8">
        <v>45291</v>
      </c>
      <c r="AE1" s="7">
        <v>45382</v>
      </c>
      <c r="AF1" s="7">
        <v>45473</v>
      </c>
      <c r="AG1" s="7">
        <v>45565</v>
      </c>
      <c r="AH1" s="8">
        <v>45657</v>
      </c>
      <c r="AI1" s="7">
        <v>45747</v>
      </c>
      <c r="AJ1" s="7">
        <v>45838</v>
      </c>
      <c r="AK1" s="7">
        <v>45930</v>
      </c>
      <c r="AL1" s="8">
        <v>46022</v>
      </c>
    </row>
    <row r="2" spans="1:38" x14ac:dyDescent="0.2">
      <c r="A2" s="9" t="s">
        <v>38</v>
      </c>
      <c r="B2" s="10" t="s">
        <v>39</v>
      </c>
      <c r="C2" s="11">
        <v>344</v>
      </c>
      <c r="D2" s="11">
        <v>326</v>
      </c>
      <c r="E2" s="11">
        <v>319</v>
      </c>
      <c r="F2" s="12">
        <v>309</v>
      </c>
      <c r="G2" s="11">
        <v>304</v>
      </c>
      <c r="H2" s="11">
        <v>293</v>
      </c>
      <c r="I2" s="11">
        <v>285</v>
      </c>
      <c r="J2" s="12">
        <v>275</v>
      </c>
      <c r="K2" s="11">
        <v>271</v>
      </c>
      <c r="L2" s="11">
        <v>268</v>
      </c>
      <c r="M2" s="11">
        <v>264</v>
      </c>
      <c r="N2" s="12">
        <v>255</v>
      </c>
      <c r="O2" s="11">
        <v>246</v>
      </c>
      <c r="P2" s="11">
        <v>242</v>
      </c>
      <c r="Q2" s="11">
        <v>237</v>
      </c>
      <c r="R2" s="12">
        <v>232</v>
      </c>
      <c r="S2" s="11">
        <v>231</v>
      </c>
      <c r="T2" s="11">
        <v>230</v>
      </c>
      <c r="U2" s="11">
        <v>225</v>
      </c>
      <c r="V2" s="12">
        <v>222</v>
      </c>
      <c r="W2" s="11">
        <v>222</v>
      </c>
      <c r="X2" s="11">
        <v>220</v>
      </c>
      <c r="Y2" s="11">
        <v>219</v>
      </c>
      <c r="Z2" s="12">
        <v>215</v>
      </c>
      <c r="AA2" s="11">
        <v>211</v>
      </c>
      <c r="AB2" s="11">
        <v>209</v>
      </c>
      <c r="AC2" s="11">
        <v>211</v>
      </c>
      <c r="AD2" s="12">
        <v>211</v>
      </c>
      <c r="AE2" s="11">
        <v>212</v>
      </c>
      <c r="AF2" s="11">
        <v>207</v>
      </c>
      <c r="AG2" s="11">
        <v>209</v>
      </c>
      <c r="AH2" s="12">
        <v>208</v>
      </c>
      <c r="AI2" s="11">
        <v>208</v>
      </c>
      <c r="AJ2" s="11">
        <v>208</v>
      </c>
      <c r="AK2" s="11">
        <v>204</v>
      </c>
      <c r="AL2" s="12">
        <v>204</v>
      </c>
    </row>
    <row r="3" spans="1:38" x14ac:dyDescent="0.2">
      <c r="A3" s="13" t="s">
        <v>40</v>
      </c>
      <c r="B3" s="6" t="s">
        <v>39</v>
      </c>
      <c r="C3" s="14">
        <v>247</v>
      </c>
      <c r="D3" s="14">
        <v>242</v>
      </c>
      <c r="E3" s="14">
        <v>236</v>
      </c>
      <c r="F3" s="15">
        <v>226</v>
      </c>
      <c r="G3" s="14">
        <v>223</v>
      </c>
      <c r="H3" s="14">
        <v>214</v>
      </c>
      <c r="I3" s="14">
        <v>208</v>
      </c>
      <c r="J3" s="15">
        <v>199</v>
      </c>
      <c r="K3" s="14">
        <v>193</v>
      </c>
      <c r="L3" s="14">
        <v>188</v>
      </c>
      <c r="M3" s="14">
        <v>185</v>
      </c>
      <c r="N3" s="15">
        <v>178</v>
      </c>
      <c r="O3" s="14">
        <v>173</v>
      </c>
      <c r="P3" s="14">
        <v>169</v>
      </c>
      <c r="Q3" s="14">
        <v>165</v>
      </c>
      <c r="R3" s="15">
        <v>160</v>
      </c>
      <c r="S3" s="14">
        <v>160</v>
      </c>
      <c r="T3" s="14">
        <v>158</v>
      </c>
      <c r="U3" s="14">
        <v>151</v>
      </c>
      <c r="V3" s="15">
        <v>147</v>
      </c>
      <c r="W3" s="14">
        <v>146</v>
      </c>
      <c r="X3" s="14">
        <v>144</v>
      </c>
      <c r="Y3" s="14">
        <v>143</v>
      </c>
      <c r="Z3" s="15">
        <v>140</v>
      </c>
      <c r="AA3" s="14">
        <v>136</v>
      </c>
      <c r="AB3" s="14">
        <v>135</v>
      </c>
      <c r="AC3" s="14">
        <v>133</v>
      </c>
      <c r="AD3" s="15">
        <v>132</v>
      </c>
      <c r="AE3" s="14">
        <v>133</v>
      </c>
      <c r="AF3" s="14">
        <v>132</v>
      </c>
      <c r="AG3" s="14">
        <v>134</v>
      </c>
      <c r="AH3" s="15">
        <v>131</v>
      </c>
      <c r="AI3" s="14">
        <v>131</v>
      </c>
      <c r="AJ3" s="14">
        <v>131</v>
      </c>
      <c r="AK3" s="14">
        <v>128</v>
      </c>
      <c r="AL3" s="15">
        <v>129</v>
      </c>
    </row>
    <row r="4" spans="1:38" x14ac:dyDescent="0.2">
      <c r="A4" s="13" t="s">
        <v>41</v>
      </c>
      <c r="B4" s="6" t="s">
        <v>39</v>
      </c>
      <c r="C4" s="14">
        <v>12</v>
      </c>
      <c r="D4" s="14">
        <v>12</v>
      </c>
      <c r="E4" s="14">
        <v>12</v>
      </c>
      <c r="F4" s="15">
        <v>12</v>
      </c>
      <c r="G4" s="14">
        <v>12</v>
      </c>
      <c r="H4" s="14">
        <v>12</v>
      </c>
      <c r="I4" s="14">
        <v>13</v>
      </c>
      <c r="J4" s="15">
        <v>12</v>
      </c>
      <c r="K4" s="14">
        <v>12</v>
      </c>
      <c r="L4" s="14">
        <v>12</v>
      </c>
      <c r="M4" s="14">
        <v>12</v>
      </c>
      <c r="N4" s="15">
        <v>11</v>
      </c>
      <c r="O4" s="14">
        <v>10</v>
      </c>
      <c r="P4" s="14">
        <v>10</v>
      </c>
      <c r="Q4" s="14">
        <v>11</v>
      </c>
      <c r="R4" s="15">
        <v>13</v>
      </c>
      <c r="S4" s="14">
        <v>14</v>
      </c>
      <c r="T4" s="14">
        <v>15</v>
      </c>
      <c r="U4" s="14">
        <v>16</v>
      </c>
      <c r="V4" s="15">
        <v>16</v>
      </c>
      <c r="W4" s="14">
        <v>18</v>
      </c>
      <c r="X4" s="14">
        <v>17</v>
      </c>
      <c r="Y4" s="14">
        <v>19</v>
      </c>
      <c r="Z4" s="15">
        <v>18</v>
      </c>
      <c r="AA4" s="14">
        <v>18</v>
      </c>
      <c r="AB4" s="14">
        <v>18</v>
      </c>
      <c r="AC4" s="14">
        <v>21</v>
      </c>
      <c r="AD4" s="15">
        <v>21</v>
      </c>
      <c r="AE4" s="14">
        <v>21</v>
      </c>
      <c r="AF4" s="14">
        <v>20</v>
      </c>
      <c r="AG4" s="14">
        <v>19</v>
      </c>
      <c r="AH4" s="15">
        <v>20</v>
      </c>
      <c r="AI4" s="14">
        <v>20</v>
      </c>
      <c r="AJ4" s="14">
        <v>19</v>
      </c>
      <c r="AK4" s="14">
        <v>18</v>
      </c>
      <c r="AL4" s="15">
        <v>15</v>
      </c>
    </row>
    <row r="5" spans="1:38" x14ac:dyDescent="0.2">
      <c r="A5" s="13" t="s">
        <v>42</v>
      </c>
      <c r="B5" s="6" t="s">
        <v>39</v>
      </c>
      <c r="C5" s="14">
        <v>85</v>
      </c>
      <c r="D5" s="14">
        <v>72</v>
      </c>
      <c r="E5" s="14">
        <v>71</v>
      </c>
      <c r="F5" s="15">
        <v>71</v>
      </c>
      <c r="G5" s="14">
        <v>69</v>
      </c>
      <c r="H5" s="14">
        <v>67</v>
      </c>
      <c r="I5" s="14">
        <v>64</v>
      </c>
      <c r="J5" s="15">
        <v>64</v>
      </c>
      <c r="K5" s="14">
        <v>66</v>
      </c>
      <c r="L5" s="14">
        <v>68</v>
      </c>
      <c r="M5" s="14">
        <v>67</v>
      </c>
      <c r="N5" s="15">
        <v>66</v>
      </c>
      <c r="O5" s="14">
        <v>63</v>
      </c>
      <c r="P5" s="14">
        <v>63</v>
      </c>
      <c r="Q5" s="14">
        <v>61</v>
      </c>
      <c r="R5" s="15">
        <v>59</v>
      </c>
      <c r="S5" s="14">
        <v>57</v>
      </c>
      <c r="T5" s="14">
        <v>57</v>
      </c>
      <c r="U5" s="14">
        <v>58</v>
      </c>
      <c r="V5" s="15">
        <v>59</v>
      </c>
      <c r="W5" s="14">
        <v>58</v>
      </c>
      <c r="X5" s="14">
        <v>59</v>
      </c>
      <c r="Y5" s="14">
        <v>57</v>
      </c>
      <c r="Z5" s="15">
        <v>57</v>
      </c>
      <c r="AA5" s="14">
        <v>57</v>
      </c>
      <c r="AB5" s="14">
        <v>56</v>
      </c>
      <c r="AC5" s="14">
        <v>57</v>
      </c>
      <c r="AD5" s="15">
        <v>58</v>
      </c>
      <c r="AE5" s="14">
        <v>58</v>
      </c>
      <c r="AF5" s="14">
        <v>55</v>
      </c>
      <c r="AG5" s="14">
        <v>56</v>
      </c>
      <c r="AH5" s="15">
        <v>57</v>
      </c>
      <c r="AI5" s="14">
        <v>57</v>
      </c>
      <c r="AJ5" s="14">
        <v>58</v>
      </c>
      <c r="AK5" s="14">
        <v>58</v>
      </c>
      <c r="AL5" s="15">
        <v>60</v>
      </c>
    </row>
    <row r="6" spans="1:38" x14ac:dyDescent="0.2">
      <c r="A6" s="9" t="s">
        <v>43</v>
      </c>
      <c r="B6" s="10" t="s">
        <v>44</v>
      </c>
      <c r="C6" s="16">
        <v>316317.261</v>
      </c>
      <c r="D6" s="16">
        <v>645970.78899999999</v>
      </c>
      <c r="E6" s="16">
        <v>962439.9</v>
      </c>
      <c r="F6" s="17">
        <v>1278841.595</v>
      </c>
      <c r="G6" s="16">
        <v>377414.26701688999</v>
      </c>
      <c r="H6" s="16">
        <v>731781.94328325999</v>
      </c>
      <c r="I6" s="16">
        <v>1093836.15671395</v>
      </c>
      <c r="J6" s="17">
        <v>1479501.12793797</v>
      </c>
      <c r="K6" s="16">
        <v>378595.41515960003</v>
      </c>
      <c r="L6" s="16">
        <v>739250.27791047003</v>
      </c>
      <c r="M6" s="16">
        <v>1101338.4387376299</v>
      </c>
      <c r="N6" s="17">
        <v>1481177.58845645</v>
      </c>
      <c r="O6" s="16">
        <v>426272.35127218999</v>
      </c>
      <c r="P6" s="16">
        <v>739065.15091163001</v>
      </c>
      <c r="Q6" s="16">
        <v>1135894.12613895</v>
      </c>
      <c r="R6" s="17">
        <v>1538700.7315724001</v>
      </c>
      <c r="S6" s="16">
        <v>459799.28031904</v>
      </c>
      <c r="T6" s="16">
        <v>894187.30281953001</v>
      </c>
      <c r="U6" s="16">
        <v>1356131.1831338401</v>
      </c>
      <c r="V6" s="17">
        <v>1808289.2797530503</v>
      </c>
      <c r="W6" s="16">
        <v>452281.34225161007</v>
      </c>
      <c r="X6" s="16">
        <v>862257.18626898993</v>
      </c>
      <c r="Y6" s="16">
        <v>1327934.7150576599</v>
      </c>
      <c r="Z6" s="17">
        <v>1816747.6409735598</v>
      </c>
      <c r="AA6" s="16">
        <v>548353.86447495013</v>
      </c>
      <c r="AB6" s="16">
        <v>1073123.56422177</v>
      </c>
      <c r="AC6" s="16">
        <v>1646736.7584393101</v>
      </c>
      <c r="AD6" s="17">
        <v>2285058.3567506298</v>
      </c>
      <c r="AE6" s="16">
        <v>578425.59235505003</v>
      </c>
      <c r="AF6" s="16">
        <v>1293612.6179317601</v>
      </c>
      <c r="AG6" s="16">
        <v>2407471.92500854</v>
      </c>
      <c r="AH6" s="17">
        <v>3720036.6880075196</v>
      </c>
      <c r="AI6" s="16">
        <v>845426.81505739002</v>
      </c>
      <c r="AJ6" s="16">
        <v>1766648.4253092201</v>
      </c>
      <c r="AK6" s="16">
        <v>2762379.8503217204</v>
      </c>
      <c r="AL6" s="17">
        <v>3976613.88690557</v>
      </c>
    </row>
    <row r="7" spans="1:38" x14ac:dyDescent="0.2">
      <c r="A7" s="18" t="s">
        <v>45</v>
      </c>
      <c r="B7" s="19" t="s">
        <v>44</v>
      </c>
      <c r="C7" s="20">
        <v>59830.624000000003</v>
      </c>
      <c r="D7" s="20">
        <v>141230.791</v>
      </c>
      <c r="E7" s="20">
        <v>230882.37700000001</v>
      </c>
      <c r="F7" s="21">
        <v>331536.826</v>
      </c>
      <c r="G7" s="20">
        <v>92220.753261409991</v>
      </c>
      <c r="H7" s="20">
        <v>205718.56102103999</v>
      </c>
      <c r="I7" s="20">
        <v>324903.61291510001</v>
      </c>
      <c r="J7" s="21">
        <v>452399.85352926998</v>
      </c>
      <c r="K7" s="20">
        <v>85238.369709649996</v>
      </c>
      <c r="L7" s="20">
        <v>183698.91823710999</v>
      </c>
      <c r="M7" s="20">
        <v>288007.67272363004</v>
      </c>
      <c r="N7" s="21">
        <v>409374.10540273</v>
      </c>
      <c r="O7" s="20">
        <v>98832.577237820005</v>
      </c>
      <c r="P7" s="20">
        <v>179177.16097465</v>
      </c>
      <c r="Q7" s="20">
        <v>299652.63190047996</v>
      </c>
      <c r="R7" s="21">
        <v>430517.25141763996</v>
      </c>
      <c r="S7" s="20">
        <v>106351.26834072999</v>
      </c>
      <c r="T7" s="20">
        <v>235260.36414619</v>
      </c>
      <c r="U7" s="20">
        <v>379459.96769934997</v>
      </c>
      <c r="V7" s="21">
        <v>524402.36945885001</v>
      </c>
      <c r="W7" s="20">
        <v>94734.933942640011</v>
      </c>
      <c r="X7" s="20">
        <v>218306.91399453999</v>
      </c>
      <c r="Y7" s="20">
        <v>359260.72250065999</v>
      </c>
      <c r="Z7" s="21">
        <v>511299.21649573999</v>
      </c>
      <c r="AA7" s="20">
        <v>148359.66810343001</v>
      </c>
      <c r="AB7" s="20">
        <v>342736.40169841005</v>
      </c>
      <c r="AC7" s="20">
        <v>542954.9350274899</v>
      </c>
      <c r="AD7" s="21">
        <v>775060.92792341998</v>
      </c>
      <c r="AE7" s="20">
        <v>200824.30886085</v>
      </c>
      <c r="AF7" s="20">
        <v>487394.92005824001</v>
      </c>
      <c r="AG7" s="20">
        <v>1160460.78482107</v>
      </c>
      <c r="AH7" s="21">
        <v>2033132.82002421</v>
      </c>
      <c r="AI7" s="20">
        <v>448847.91894832003</v>
      </c>
      <c r="AJ7" s="20">
        <v>950556.35738991993</v>
      </c>
      <c r="AK7" s="20">
        <v>1501216.56597563</v>
      </c>
      <c r="AL7" s="21">
        <v>2253618.3213273804</v>
      </c>
    </row>
    <row r="8" spans="1:38" x14ac:dyDescent="0.2">
      <c r="A8" s="13" t="s">
        <v>46</v>
      </c>
      <c r="B8" s="6" t="s">
        <v>44</v>
      </c>
      <c r="C8" s="22" t="s">
        <v>47</v>
      </c>
      <c r="D8" s="22" t="s">
        <v>47</v>
      </c>
      <c r="E8" s="22" t="s">
        <v>47</v>
      </c>
      <c r="F8" s="23" t="s">
        <v>47</v>
      </c>
      <c r="G8" s="22" t="s">
        <v>47</v>
      </c>
      <c r="H8" s="22" t="s">
        <v>47</v>
      </c>
      <c r="I8" s="22" t="s">
        <v>47</v>
      </c>
      <c r="J8" s="23" t="s">
        <v>47</v>
      </c>
      <c r="K8" s="22" t="s">
        <v>47</v>
      </c>
      <c r="L8" s="24">
        <v>86515.724244190002</v>
      </c>
      <c r="M8" s="24">
        <v>140999.33772214002</v>
      </c>
      <c r="N8" s="25">
        <v>181984.85499116001</v>
      </c>
      <c r="O8" s="24">
        <v>47500.670246789996</v>
      </c>
      <c r="P8" s="24">
        <v>81428.463012239998</v>
      </c>
      <c r="Q8" s="24">
        <v>128085.01298612</v>
      </c>
      <c r="R8" s="25">
        <v>182899.08787075002</v>
      </c>
      <c r="S8" s="24">
        <v>44846.714194209999</v>
      </c>
      <c r="T8" s="24">
        <v>100886.65777507999</v>
      </c>
      <c r="U8" s="24">
        <v>158395.16892348</v>
      </c>
      <c r="V8" s="25">
        <v>219440.76214737998</v>
      </c>
      <c r="W8" s="24">
        <v>30426.440168040001</v>
      </c>
      <c r="X8" s="24">
        <v>51699.765371410002</v>
      </c>
      <c r="Y8" s="24">
        <v>86469.099539969975</v>
      </c>
      <c r="Z8" s="25">
        <v>118344.01833298999</v>
      </c>
      <c r="AA8" s="24">
        <v>32625.186354320002</v>
      </c>
      <c r="AB8" s="24">
        <v>80338.358881830005</v>
      </c>
      <c r="AC8" s="24">
        <v>137978.99174776001</v>
      </c>
      <c r="AD8" s="25">
        <v>207898.45556622001</v>
      </c>
      <c r="AE8" s="24">
        <v>53441.939634120004</v>
      </c>
      <c r="AF8" s="24">
        <v>145906.87998634999</v>
      </c>
      <c r="AG8" s="24">
        <v>313985.54257719999</v>
      </c>
      <c r="AH8" s="25">
        <v>501785.59723050997</v>
      </c>
      <c r="AI8" s="24">
        <v>206574.96532712001</v>
      </c>
      <c r="AJ8" s="24">
        <v>404380.18465148995</v>
      </c>
      <c r="AK8" s="24">
        <v>607701.67166554008</v>
      </c>
      <c r="AL8" s="25">
        <v>911462.83712243009</v>
      </c>
    </row>
    <row r="9" spans="1:38" x14ac:dyDescent="0.2">
      <c r="A9" s="13" t="s">
        <v>48</v>
      </c>
      <c r="B9" s="6" t="s">
        <v>44</v>
      </c>
      <c r="C9" s="22" t="s">
        <v>47</v>
      </c>
      <c r="D9" s="22" t="s">
        <v>47</v>
      </c>
      <c r="E9" s="22" t="s">
        <v>47</v>
      </c>
      <c r="F9" s="23" t="s">
        <v>47</v>
      </c>
      <c r="G9" s="22" t="s">
        <v>47</v>
      </c>
      <c r="H9" s="22" t="s">
        <v>47</v>
      </c>
      <c r="I9" s="22" t="s">
        <v>47</v>
      </c>
      <c r="J9" s="23" t="s">
        <v>47</v>
      </c>
      <c r="K9" s="22" t="s">
        <v>47</v>
      </c>
      <c r="L9" s="22" t="s">
        <v>47</v>
      </c>
      <c r="M9" s="22" t="s">
        <v>47</v>
      </c>
      <c r="N9" s="23" t="s">
        <v>47</v>
      </c>
      <c r="O9" s="22" t="s">
        <v>47</v>
      </c>
      <c r="P9" s="22" t="s">
        <v>47</v>
      </c>
      <c r="Q9" s="22" t="s">
        <v>47</v>
      </c>
      <c r="R9" s="23" t="s">
        <v>47</v>
      </c>
      <c r="S9" s="22" t="s">
        <v>47</v>
      </c>
      <c r="T9" s="22" t="s">
        <v>47</v>
      </c>
      <c r="U9" s="22" t="s">
        <v>47</v>
      </c>
      <c r="V9" s="25">
        <v>136083.02469818003</v>
      </c>
      <c r="W9" s="24">
        <v>22815.095456760002</v>
      </c>
      <c r="X9" s="24">
        <v>44921.161482800002</v>
      </c>
      <c r="Y9" s="24">
        <v>86314.724565070021</v>
      </c>
      <c r="Z9" s="25">
        <v>135773.55700736999</v>
      </c>
      <c r="AA9" s="24">
        <v>46076.735679989994</v>
      </c>
      <c r="AB9" s="24">
        <v>107138.46117005</v>
      </c>
      <c r="AC9" s="24">
        <v>162077.32229463002</v>
      </c>
      <c r="AD9" s="25">
        <v>204937.11857515</v>
      </c>
      <c r="AE9" s="24">
        <v>21288.227318439996</v>
      </c>
      <c r="AF9" s="24">
        <v>44555.615330109991</v>
      </c>
      <c r="AG9" s="24">
        <v>63824.626735700003</v>
      </c>
      <c r="AH9" s="25">
        <v>76257.432722549987</v>
      </c>
      <c r="AI9" s="24">
        <v>10500.885334420002</v>
      </c>
      <c r="AJ9" s="24">
        <v>23809.595954979999</v>
      </c>
      <c r="AK9" s="24">
        <v>47702.747303249998</v>
      </c>
      <c r="AL9" s="25">
        <v>78180.879582929992</v>
      </c>
    </row>
    <row r="10" spans="1:38" x14ac:dyDescent="0.2">
      <c r="A10" s="13" t="s">
        <v>49</v>
      </c>
      <c r="B10" s="6" t="s">
        <v>44</v>
      </c>
      <c r="C10" s="22" t="s">
        <v>47</v>
      </c>
      <c r="D10" s="22" t="s">
        <v>47</v>
      </c>
      <c r="E10" s="22" t="s">
        <v>47</v>
      </c>
      <c r="F10" s="23" t="s">
        <v>47</v>
      </c>
      <c r="G10" s="22" t="s">
        <v>47</v>
      </c>
      <c r="H10" s="22" t="s">
        <v>47</v>
      </c>
      <c r="I10" s="22" t="s">
        <v>47</v>
      </c>
      <c r="J10" s="23" t="s">
        <v>47</v>
      </c>
      <c r="K10" s="22" t="s">
        <v>47</v>
      </c>
      <c r="L10" s="22" t="s">
        <v>47</v>
      </c>
      <c r="M10" s="22" t="s">
        <v>47</v>
      </c>
      <c r="N10" s="23" t="s">
        <v>47</v>
      </c>
      <c r="O10" s="22" t="s">
        <v>47</v>
      </c>
      <c r="P10" s="22" t="s">
        <v>47</v>
      </c>
      <c r="Q10" s="22" t="s">
        <v>47</v>
      </c>
      <c r="R10" s="23" t="s">
        <v>47</v>
      </c>
      <c r="S10" s="22" t="s">
        <v>47</v>
      </c>
      <c r="T10" s="22" t="s">
        <v>47</v>
      </c>
      <c r="U10" s="22" t="s">
        <v>47</v>
      </c>
      <c r="V10" s="25">
        <v>156292.11412028997</v>
      </c>
      <c r="W10" s="24">
        <v>39173.395443650006</v>
      </c>
      <c r="X10" s="24">
        <v>117193.38424256998</v>
      </c>
      <c r="Y10" s="24">
        <v>179405.78914613003</v>
      </c>
      <c r="Z10" s="25">
        <v>247873.80918134001</v>
      </c>
      <c r="AA10" s="24">
        <v>67387.400618540007</v>
      </c>
      <c r="AB10" s="24">
        <v>149843.14993646997</v>
      </c>
      <c r="AC10" s="24">
        <v>234831.66904179001</v>
      </c>
      <c r="AD10" s="25">
        <v>352398.63887281995</v>
      </c>
      <c r="AE10" s="24">
        <v>124032.17349821</v>
      </c>
      <c r="AF10" s="24">
        <v>292187.33560624998</v>
      </c>
      <c r="AG10" s="24">
        <v>775659.05081477982</v>
      </c>
      <c r="AH10" s="25">
        <v>1445877.7597671503</v>
      </c>
      <c r="AI10" s="24">
        <v>229484.79093544005</v>
      </c>
      <c r="AJ10" s="24">
        <v>518261.14718408004</v>
      </c>
      <c r="AK10" s="24">
        <v>836885.04431073996</v>
      </c>
      <c r="AL10" s="25">
        <v>1218029.8682855498</v>
      </c>
    </row>
    <row r="11" spans="1:38" x14ac:dyDescent="0.2">
      <c r="A11" s="13" t="s">
        <v>50</v>
      </c>
      <c r="B11" s="6" t="s">
        <v>44</v>
      </c>
      <c r="C11" s="22" t="s">
        <v>47</v>
      </c>
      <c r="D11" s="22" t="s">
        <v>47</v>
      </c>
      <c r="E11" s="22" t="s">
        <v>47</v>
      </c>
      <c r="F11" s="23" t="s">
        <v>47</v>
      </c>
      <c r="G11" s="22" t="s">
        <v>47</v>
      </c>
      <c r="H11" s="22" t="s">
        <v>47</v>
      </c>
      <c r="I11" s="22" t="s">
        <v>47</v>
      </c>
      <c r="J11" s="23" t="s">
        <v>47</v>
      </c>
      <c r="K11" s="22" t="s">
        <v>47</v>
      </c>
      <c r="L11" s="22" t="s">
        <v>47</v>
      </c>
      <c r="M11" s="22" t="s">
        <v>47</v>
      </c>
      <c r="N11" s="23" t="s">
        <v>47</v>
      </c>
      <c r="O11" s="22" t="s">
        <v>47</v>
      </c>
      <c r="P11" s="22" t="s">
        <v>47</v>
      </c>
      <c r="Q11" s="22" t="s">
        <v>47</v>
      </c>
      <c r="R11" s="23" t="s">
        <v>47</v>
      </c>
      <c r="S11" s="22" t="s">
        <v>47</v>
      </c>
      <c r="T11" s="22" t="s">
        <v>47</v>
      </c>
      <c r="U11" s="22" t="s">
        <v>47</v>
      </c>
      <c r="V11" s="25">
        <v>8405.1325769100004</v>
      </c>
      <c r="W11" s="24">
        <v>1339.4947565099999</v>
      </c>
      <c r="X11" s="24">
        <v>2633.7412016400003</v>
      </c>
      <c r="Y11" s="24">
        <v>4280.8273393299987</v>
      </c>
      <c r="Z11" s="25">
        <v>5522.3158944200004</v>
      </c>
      <c r="AA11" s="24">
        <v>1338.7969365000001</v>
      </c>
      <c r="AB11" s="24">
        <v>2723.29369236</v>
      </c>
      <c r="AC11" s="24">
        <v>4309.8344478099998</v>
      </c>
      <c r="AD11" s="25">
        <v>4928.4983525900006</v>
      </c>
      <c r="AE11" s="24">
        <v>951.42884355000001</v>
      </c>
      <c r="AF11" s="24">
        <v>1741.38601025</v>
      </c>
      <c r="AG11" s="24">
        <v>2737.6528188000002</v>
      </c>
      <c r="AH11" s="25">
        <v>3619.00606483</v>
      </c>
      <c r="AI11" s="24">
        <v>584.92389284000012</v>
      </c>
      <c r="AJ11" s="24">
        <v>1293.8409042599999</v>
      </c>
      <c r="AK11" s="24">
        <v>2346.0792817500001</v>
      </c>
      <c r="AL11" s="25">
        <v>1617.6071664800002</v>
      </c>
    </row>
    <row r="12" spans="1:38" x14ac:dyDescent="0.2">
      <c r="A12" s="13" t="s">
        <v>51</v>
      </c>
      <c r="B12" s="6" t="s">
        <v>44</v>
      </c>
      <c r="C12" s="22" t="s">
        <v>47</v>
      </c>
      <c r="D12" s="22" t="s">
        <v>47</v>
      </c>
      <c r="E12" s="22" t="s">
        <v>47</v>
      </c>
      <c r="F12" s="23" t="s">
        <v>47</v>
      </c>
      <c r="G12" s="22" t="s">
        <v>47</v>
      </c>
      <c r="H12" s="22" t="s">
        <v>47</v>
      </c>
      <c r="I12" s="22" t="s">
        <v>47</v>
      </c>
      <c r="J12" s="23" t="s">
        <v>47</v>
      </c>
      <c r="K12" s="22" t="s">
        <v>47</v>
      </c>
      <c r="L12" s="22" t="s">
        <v>47</v>
      </c>
      <c r="M12" s="22" t="s">
        <v>47</v>
      </c>
      <c r="N12" s="23" t="s">
        <v>47</v>
      </c>
      <c r="O12" s="22" t="s">
        <v>47</v>
      </c>
      <c r="P12" s="22" t="s">
        <v>47</v>
      </c>
      <c r="Q12" s="22" t="s">
        <v>47</v>
      </c>
      <c r="R12" s="23" t="s">
        <v>47</v>
      </c>
      <c r="S12" s="22" t="s">
        <v>47</v>
      </c>
      <c r="T12" s="22" t="s">
        <v>47</v>
      </c>
      <c r="U12" s="22" t="s">
        <v>47</v>
      </c>
      <c r="V12" s="25">
        <v>2011.06840597</v>
      </c>
      <c r="W12" s="24">
        <v>524.91341326999998</v>
      </c>
      <c r="X12" s="24">
        <v>1066.6455183200001</v>
      </c>
      <c r="Y12" s="24">
        <v>1659.89408026</v>
      </c>
      <c r="Z12" s="25">
        <v>2282.6900025099999</v>
      </c>
      <c r="AA12" s="24">
        <v>610.06063627999993</v>
      </c>
      <c r="AB12" s="24">
        <v>1270.3602145</v>
      </c>
      <c r="AC12" s="24">
        <v>1936.2907809199999</v>
      </c>
      <c r="AD12" s="25">
        <v>2637.8167956099996</v>
      </c>
      <c r="AE12" s="24">
        <v>717.63265422999984</v>
      </c>
      <c r="AF12" s="24">
        <v>1477.9988608500003</v>
      </c>
      <c r="AG12" s="24">
        <v>2244.7844918800001</v>
      </c>
      <c r="AH12" s="25">
        <v>3047.86475565</v>
      </c>
      <c r="AI12" s="24">
        <v>1172.0867633</v>
      </c>
      <c r="AJ12" s="24">
        <v>1681.89013748</v>
      </c>
      <c r="AK12" s="24">
        <v>2613.8635561100004</v>
      </c>
      <c r="AL12" s="25">
        <v>6309.6422925799998</v>
      </c>
    </row>
    <row r="13" spans="1:38" x14ac:dyDescent="0.2">
      <c r="A13" s="13" t="s">
        <v>52</v>
      </c>
      <c r="B13" s="6" t="s">
        <v>44</v>
      </c>
      <c r="C13" s="24">
        <v>331.30200000000002</v>
      </c>
      <c r="D13" s="24">
        <v>694.37699999999995</v>
      </c>
      <c r="E13" s="24">
        <v>1023.2619999999999</v>
      </c>
      <c r="F13" s="25">
        <v>1438.8420000000001</v>
      </c>
      <c r="G13" s="24">
        <v>345.79346944000002</v>
      </c>
      <c r="H13" s="24">
        <v>801.77634094000007</v>
      </c>
      <c r="I13" s="24">
        <v>1168.20245398</v>
      </c>
      <c r="J13" s="25">
        <v>1559.7758143800002</v>
      </c>
      <c r="K13" s="24">
        <v>334.51558947000001</v>
      </c>
      <c r="L13" s="24">
        <v>687.75495452000007</v>
      </c>
      <c r="M13" s="24">
        <v>1703.9661407799999</v>
      </c>
      <c r="N13" s="25">
        <v>2116.6406079899998</v>
      </c>
      <c r="O13" s="24">
        <v>395.33400962000002</v>
      </c>
      <c r="P13" s="24">
        <v>769.57547485999999</v>
      </c>
      <c r="Q13" s="24">
        <v>1246.4980956300001</v>
      </c>
      <c r="R13" s="25">
        <v>2267.8140074200001</v>
      </c>
      <c r="S13" s="24">
        <v>428.59651056000001</v>
      </c>
      <c r="T13" s="24">
        <v>848.09287901999994</v>
      </c>
      <c r="U13" s="24">
        <v>1670.9852214</v>
      </c>
      <c r="V13" s="25">
        <v>2170.2675101200002</v>
      </c>
      <c r="W13" s="24">
        <v>455.59470441000002</v>
      </c>
      <c r="X13" s="24">
        <v>792.21617779999997</v>
      </c>
      <c r="Y13" s="24">
        <v>1130.3878299</v>
      </c>
      <c r="Z13" s="25">
        <v>1502.8260771100001</v>
      </c>
      <c r="AA13" s="24">
        <v>321.48787780000004</v>
      </c>
      <c r="AB13" s="24">
        <v>1422.7778031999999</v>
      </c>
      <c r="AC13" s="24">
        <v>1820.8267145799998</v>
      </c>
      <c r="AD13" s="25">
        <v>2260.3997610300003</v>
      </c>
      <c r="AE13" s="24">
        <v>392.90691230000004</v>
      </c>
      <c r="AF13" s="24">
        <v>1525.70426443</v>
      </c>
      <c r="AG13" s="24">
        <v>2009.1273827100001</v>
      </c>
      <c r="AH13" s="25">
        <v>2545.1594835199999</v>
      </c>
      <c r="AI13" s="24">
        <v>530.26669519999996</v>
      </c>
      <c r="AJ13" s="24">
        <v>1112.9277196500002</v>
      </c>
      <c r="AK13" s="24">
        <v>3875.7256911599998</v>
      </c>
      <c r="AL13" s="25">
        <v>7617.3107700699993</v>
      </c>
    </row>
    <row r="14" spans="1:38" x14ac:dyDescent="0.2">
      <c r="A14" s="18" t="s">
        <v>53</v>
      </c>
      <c r="B14" s="19" t="s">
        <v>44</v>
      </c>
      <c r="C14" s="20">
        <v>24529.706999999999</v>
      </c>
      <c r="D14" s="20">
        <v>55057.368999999999</v>
      </c>
      <c r="E14" s="20">
        <v>87690.706000000006</v>
      </c>
      <c r="F14" s="21">
        <v>121249.27899999999</v>
      </c>
      <c r="G14" s="20">
        <v>31595.520812350002</v>
      </c>
      <c r="H14" s="20">
        <v>70083.992368980005</v>
      </c>
      <c r="I14" s="20">
        <v>114229.92031693</v>
      </c>
      <c r="J14" s="21">
        <v>169520.91928634001</v>
      </c>
      <c r="K14" s="20">
        <v>42376.930703850005</v>
      </c>
      <c r="L14" s="20">
        <v>90491.369613820003</v>
      </c>
      <c r="M14" s="20">
        <v>137676.05141349</v>
      </c>
      <c r="N14" s="21">
        <v>187366.45723306001</v>
      </c>
      <c r="O14" s="20">
        <v>48702.416358549999</v>
      </c>
      <c r="P14" s="20">
        <v>87735.376416219995</v>
      </c>
      <c r="Q14" s="20">
        <v>143338.56779122</v>
      </c>
      <c r="R14" s="21">
        <v>202309.85724447001</v>
      </c>
      <c r="S14" s="20">
        <v>63193.495945840004</v>
      </c>
      <c r="T14" s="20">
        <v>132955.69250373999</v>
      </c>
      <c r="U14" s="20">
        <v>200789.95366514</v>
      </c>
      <c r="V14" s="21">
        <v>261893.41848785002</v>
      </c>
      <c r="W14" s="20">
        <v>41229.222412670002</v>
      </c>
      <c r="X14" s="20">
        <v>79959.067663780006</v>
      </c>
      <c r="Y14" s="20">
        <v>141964.66940809001</v>
      </c>
      <c r="Z14" s="21">
        <v>207182.37176380001</v>
      </c>
      <c r="AA14" s="20">
        <v>56014.702198650004</v>
      </c>
      <c r="AB14" s="20">
        <v>111688.86642214</v>
      </c>
      <c r="AC14" s="20">
        <v>161219.81771355</v>
      </c>
      <c r="AD14" s="21">
        <v>200056.1197213</v>
      </c>
      <c r="AE14" s="20">
        <v>38856.68347484</v>
      </c>
      <c r="AF14" s="20">
        <v>81917.184083059998</v>
      </c>
      <c r="AG14" s="20">
        <v>128090.92162764999</v>
      </c>
      <c r="AH14" s="21">
        <v>168044.49514741998</v>
      </c>
      <c r="AI14" s="20">
        <v>42579.825097300003</v>
      </c>
      <c r="AJ14" s="20">
        <v>77190.121827900002</v>
      </c>
      <c r="AK14" s="20">
        <v>118681.70439555999</v>
      </c>
      <c r="AL14" s="21">
        <v>157469.06201140999</v>
      </c>
    </row>
    <row r="15" spans="1:38" x14ac:dyDescent="0.2">
      <c r="A15" s="18" t="s">
        <v>54</v>
      </c>
      <c r="B15" s="19" t="s">
        <v>44</v>
      </c>
      <c r="C15" s="20">
        <v>68544.815000000002</v>
      </c>
      <c r="D15" s="20">
        <v>98075.608999999997</v>
      </c>
      <c r="E15" s="20">
        <v>120896.673</v>
      </c>
      <c r="F15" s="21">
        <v>140007.95199999999</v>
      </c>
      <c r="G15" s="20">
        <v>72521.276316640011</v>
      </c>
      <c r="H15" s="20">
        <v>104079.54825348</v>
      </c>
      <c r="I15" s="20">
        <v>129844.71480927999</v>
      </c>
      <c r="J15" s="21">
        <v>151842.79319455998</v>
      </c>
      <c r="K15" s="20">
        <v>77878.18880607</v>
      </c>
      <c r="L15" s="20">
        <v>115606.29336243001</v>
      </c>
      <c r="M15" s="20">
        <v>150418.07481727999</v>
      </c>
      <c r="N15" s="21">
        <v>180654.78731472002</v>
      </c>
      <c r="O15" s="20">
        <v>84573.314833159995</v>
      </c>
      <c r="P15" s="20">
        <v>116804.28153365999</v>
      </c>
      <c r="Q15" s="20">
        <v>147570.62292517</v>
      </c>
      <c r="R15" s="21">
        <v>176964.7114112</v>
      </c>
      <c r="S15" s="20">
        <v>86959.055422570003</v>
      </c>
      <c r="T15" s="20">
        <v>127172.23987973</v>
      </c>
      <c r="U15" s="20">
        <v>163973.73882949</v>
      </c>
      <c r="V15" s="21">
        <v>199927.18893276001</v>
      </c>
      <c r="W15" s="20">
        <v>93050.448846070009</v>
      </c>
      <c r="X15" s="20">
        <v>140001.82970738001</v>
      </c>
      <c r="Y15" s="20">
        <v>176784.09468389</v>
      </c>
      <c r="Z15" s="21">
        <v>213702.21177008</v>
      </c>
      <c r="AA15" s="20">
        <v>91740.95944151</v>
      </c>
      <c r="AB15" s="20">
        <v>125095.82376742999</v>
      </c>
      <c r="AC15" s="20">
        <v>176131.56020636999</v>
      </c>
      <c r="AD15" s="21">
        <v>253498.47438211</v>
      </c>
      <c r="AE15" s="20">
        <v>77563.323809290014</v>
      </c>
      <c r="AF15" s="20">
        <v>172940.78389952</v>
      </c>
      <c r="AG15" s="20">
        <v>245222.01335431001</v>
      </c>
      <c r="AH15" s="21">
        <v>328295.88177381997</v>
      </c>
      <c r="AI15" s="20">
        <v>79946.596136969994</v>
      </c>
      <c r="AJ15" s="20">
        <v>161328.00370875001</v>
      </c>
      <c r="AK15" s="20">
        <v>241199.31571860999</v>
      </c>
      <c r="AL15" s="21">
        <v>323650.70912163</v>
      </c>
    </row>
    <row r="16" spans="1:38" x14ac:dyDescent="0.2">
      <c r="A16" s="18" t="s">
        <v>55</v>
      </c>
      <c r="B16" s="19" t="s">
        <v>44</v>
      </c>
      <c r="C16" s="20">
        <v>36750.186999999998</v>
      </c>
      <c r="D16" s="20">
        <v>77730.510999999999</v>
      </c>
      <c r="E16" s="20">
        <v>118021.587</v>
      </c>
      <c r="F16" s="21">
        <v>162495.76199999999</v>
      </c>
      <c r="G16" s="20">
        <v>36708.357988960001</v>
      </c>
      <c r="H16" s="20">
        <v>80141.780897060002</v>
      </c>
      <c r="I16" s="20">
        <v>121448.1296247</v>
      </c>
      <c r="J16" s="21">
        <v>168691.75581793999</v>
      </c>
      <c r="K16" s="20">
        <v>35961.215779009995</v>
      </c>
      <c r="L16" s="20">
        <v>78276.577120240006</v>
      </c>
      <c r="M16" s="20">
        <v>121506.38324137</v>
      </c>
      <c r="N16" s="21">
        <v>170546.90619518</v>
      </c>
      <c r="O16" s="20">
        <v>39349.91982504</v>
      </c>
      <c r="P16" s="20">
        <v>75544.923616</v>
      </c>
      <c r="Q16" s="20">
        <v>123062.86928525</v>
      </c>
      <c r="R16" s="21">
        <v>175422.86972841999</v>
      </c>
      <c r="S16" s="20">
        <v>44581.445624980006</v>
      </c>
      <c r="T16" s="20">
        <v>93188.307082350002</v>
      </c>
      <c r="U16" s="20">
        <v>147998.32309301</v>
      </c>
      <c r="V16" s="21">
        <v>207076.23168139</v>
      </c>
      <c r="W16" s="20">
        <v>51587.739345559996</v>
      </c>
      <c r="X16" s="20">
        <v>103326.37656861999</v>
      </c>
      <c r="Y16" s="20">
        <v>160597.25028035999</v>
      </c>
      <c r="Z16" s="21">
        <v>222845.42192754001</v>
      </c>
      <c r="AA16" s="20">
        <v>58446.426198219997</v>
      </c>
      <c r="AB16" s="20">
        <v>120489.95817926001</v>
      </c>
      <c r="AC16" s="20">
        <v>192624.84465407999</v>
      </c>
      <c r="AD16" s="21">
        <v>270638.65012462001</v>
      </c>
      <c r="AE16" s="20">
        <v>71393.335717260008</v>
      </c>
      <c r="AF16" s="20">
        <v>147297.09191300999</v>
      </c>
      <c r="AG16" s="20">
        <v>236252.13230621998</v>
      </c>
      <c r="AH16" s="21">
        <v>323157.78376357001</v>
      </c>
      <c r="AI16" s="20">
        <v>69680.354385110011</v>
      </c>
      <c r="AJ16" s="20">
        <v>149600.06855160001</v>
      </c>
      <c r="AK16" s="20">
        <v>240695.19623758999</v>
      </c>
      <c r="AL16" s="21">
        <v>338831.25434488</v>
      </c>
    </row>
    <row r="17" spans="1:38" x14ac:dyDescent="0.2">
      <c r="A17" s="18" t="s">
        <v>56</v>
      </c>
      <c r="B17" s="19" t="s">
        <v>44</v>
      </c>
      <c r="C17" s="20">
        <v>25748.87</v>
      </c>
      <c r="D17" s="20">
        <v>52351.976999999999</v>
      </c>
      <c r="E17" s="20">
        <v>79916.423999999999</v>
      </c>
      <c r="F17" s="21">
        <v>95988.475000000006</v>
      </c>
      <c r="G17" s="20">
        <v>34277.535218750003</v>
      </c>
      <c r="H17" s="20">
        <v>53473.470670089999</v>
      </c>
      <c r="I17" s="20">
        <v>76832.006305970004</v>
      </c>
      <c r="J17" s="21">
        <v>88523.651796270002</v>
      </c>
      <c r="K17" s="20">
        <v>33527.903181170004</v>
      </c>
      <c r="L17" s="20">
        <v>56957.949838169996</v>
      </c>
      <c r="M17" s="20">
        <v>84873.796672500001</v>
      </c>
      <c r="N17" s="21">
        <v>103322.29912424</v>
      </c>
      <c r="O17" s="20">
        <v>43557.372879709998</v>
      </c>
      <c r="P17" s="20">
        <v>67732.147350449988</v>
      </c>
      <c r="Q17" s="20">
        <v>96562.788325779999</v>
      </c>
      <c r="R17" s="21">
        <v>113142.52014571</v>
      </c>
      <c r="S17" s="20">
        <v>37533.8131651</v>
      </c>
      <c r="T17" s="20">
        <v>65632.020049280007</v>
      </c>
      <c r="U17" s="20">
        <v>96748.072960379999</v>
      </c>
      <c r="V17" s="21">
        <v>120193.46877626001</v>
      </c>
      <c r="W17" s="20">
        <v>41774.616750829999</v>
      </c>
      <c r="X17" s="20">
        <v>69467.887170629998</v>
      </c>
      <c r="Y17" s="20">
        <v>104558.91020447999</v>
      </c>
      <c r="Z17" s="21">
        <v>128641.80370799</v>
      </c>
      <c r="AA17" s="20">
        <v>40128.166786789996</v>
      </c>
      <c r="AB17" s="20">
        <v>71601.166803040003</v>
      </c>
      <c r="AC17" s="20">
        <v>102697.68192906</v>
      </c>
      <c r="AD17" s="21">
        <v>133944.20850393001</v>
      </c>
      <c r="AE17" s="20">
        <v>35319.200283580001</v>
      </c>
      <c r="AF17" s="20">
        <v>72216.525353249992</v>
      </c>
      <c r="AG17" s="20">
        <v>113608.29876631001</v>
      </c>
      <c r="AH17" s="21">
        <v>150858.40396193002</v>
      </c>
      <c r="AI17" s="20">
        <v>40703.303027189999</v>
      </c>
      <c r="AJ17" s="20">
        <v>83297.206467650001</v>
      </c>
      <c r="AK17" s="20">
        <v>127373.78085281</v>
      </c>
      <c r="AL17" s="21">
        <v>170294.37503252001</v>
      </c>
    </row>
    <row r="18" spans="1:38" x14ac:dyDescent="0.2">
      <c r="A18" s="18" t="s">
        <v>57</v>
      </c>
      <c r="B18" s="19" t="s">
        <v>44</v>
      </c>
      <c r="C18" s="20">
        <v>11470.293</v>
      </c>
      <c r="D18" s="20">
        <v>25397.170999999998</v>
      </c>
      <c r="E18" s="20">
        <v>41148.173999999999</v>
      </c>
      <c r="F18" s="21">
        <v>57406.517999999996</v>
      </c>
      <c r="G18" s="20">
        <v>13402.614086789999</v>
      </c>
      <c r="H18" s="20">
        <v>28315.860075569999</v>
      </c>
      <c r="I18" s="20">
        <v>45517.844107589997</v>
      </c>
      <c r="J18" s="21">
        <v>64810.51387232</v>
      </c>
      <c r="K18" s="20">
        <v>14488.978655750001</v>
      </c>
      <c r="L18" s="20">
        <v>30900.5394156</v>
      </c>
      <c r="M18" s="20">
        <v>49562.804775730001</v>
      </c>
      <c r="N18" s="21">
        <v>71900.592745410002</v>
      </c>
      <c r="O18" s="20">
        <v>15856.31927568</v>
      </c>
      <c r="P18" s="20">
        <v>30266.588800090001</v>
      </c>
      <c r="Q18" s="20">
        <v>50088.244206349998</v>
      </c>
      <c r="R18" s="21">
        <v>71650.464138420008</v>
      </c>
      <c r="S18" s="20">
        <v>17012.953015579998</v>
      </c>
      <c r="T18" s="20">
        <v>35786.463538099997</v>
      </c>
      <c r="U18" s="20">
        <v>57421.623139839998</v>
      </c>
      <c r="V18" s="21">
        <v>81776.524004320003</v>
      </c>
      <c r="W18" s="20">
        <v>18577.053503899999</v>
      </c>
      <c r="X18" s="20">
        <v>37380.21460254</v>
      </c>
      <c r="Y18" s="20">
        <v>59161.176433939996</v>
      </c>
      <c r="Z18" s="21">
        <v>84251.617754130013</v>
      </c>
      <c r="AA18" s="20">
        <v>29133.57311854</v>
      </c>
      <c r="AB18" s="20">
        <v>50961.954869659996</v>
      </c>
      <c r="AC18" s="20">
        <v>83190.866969809998</v>
      </c>
      <c r="AD18" s="21">
        <v>117359.77028734999</v>
      </c>
      <c r="AE18" s="20">
        <v>25943.31306696</v>
      </c>
      <c r="AF18" s="20">
        <v>56712.742626810003</v>
      </c>
      <c r="AG18" s="20">
        <v>89918.504342559987</v>
      </c>
      <c r="AH18" s="21">
        <v>126247.92931050999</v>
      </c>
      <c r="AI18" s="20">
        <v>29148.194520599998</v>
      </c>
      <c r="AJ18" s="20">
        <v>62101.430396759999</v>
      </c>
      <c r="AK18" s="20">
        <v>98419.80824513</v>
      </c>
      <c r="AL18" s="21">
        <v>136924.79581459999</v>
      </c>
    </row>
    <row r="19" spans="1:38" x14ac:dyDescent="0.2">
      <c r="A19" s="18" t="s">
        <v>58</v>
      </c>
      <c r="B19" s="19" t="s">
        <v>44</v>
      </c>
      <c r="C19" s="20">
        <v>48237.932999999997</v>
      </c>
      <c r="D19" s="20">
        <v>109191.87300000001</v>
      </c>
      <c r="E19" s="20">
        <v>165254.33100000001</v>
      </c>
      <c r="F19" s="21">
        <v>222075.98</v>
      </c>
      <c r="G19" s="20">
        <v>46019.623767329998</v>
      </c>
      <c r="H19" s="20">
        <v>107302.33465383001</v>
      </c>
      <c r="I19" s="20">
        <v>165077.84098190998</v>
      </c>
      <c r="J19" s="21">
        <v>225965.14246104</v>
      </c>
      <c r="K19" s="20">
        <v>45118.36423195</v>
      </c>
      <c r="L19" s="20">
        <v>101588.39241523</v>
      </c>
      <c r="M19" s="20">
        <v>153986.87973322</v>
      </c>
      <c r="N19" s="21">
        <v>214948.97987406998</v>
      </c>
      <c r="O19" s="20">
        <v>46464.981738689996</v>
      </c>
      <c r="P19" s="20">
        <v>102961.11625387</v>
      </c>
      <c r="Q19" s="20">
        <v>163784.74405149999</v>
      </c>
      <c r="R19" s="21">
        <v>220021.17709178998</v>
      </c>
      <c r="S19" s="20">
        <v>49977.035223860003</v>
      </c>
      <c r="T19" s="20">
        <v>109462.10144639001</v>
      </c>
      <c r="U19" s="20">
        <v>171987.23070023998</v>
      </c>
      <c r="V19" s="21">
        <v>225548.34837118001</v>
      </c>
      <c r="W19" s="20">
        <v>52401.514926399999</v>
      </c>
      <c r="X19" s="20">
        <v>117999.40761806</v>
      </c>
      <c r="Y19" s="20">
        <v>191260.88812809999</v>
      </c>
      <c r="Z19" s="21">
        <v>273103.35541081999</v>
      </c>
      <c r="AA19" s="20">
        <v>68957.241775350005</v>
      </c>
      <c r="AB19" s="20">
        <v>151928.93750964999</v>
      </c>
      <c r="AC19" s="20">
        <v>235236.18816555</v>
      </c>
      <c r="AD19" s="21">
        <v>324416.06333568</v>
      </c>
      <c r="AE19" s="20">
        <v>72903.201167959996</v>
      </c>
      <c r="AF19" s="20">
        <v>154908.17941268001</v>
      </c>
      <c r="AG19" s="20">
        <v>242721.89311638</v>
      </c>
      <c r="AH19" s="21">
        <v>331940.74120816001</v>
      </c>
      <c r="AI19" s="20">
        <v>73890.156705850008</v>
      </c>
      <c r="AJ19" s="20">
        <v>156499.01542129999</v>
      </c>
      <c r="AK19" s="20">
        <v>240222.67856028001</v>
      </c>
      <c r="AL19" s="21">
        <v>330281.69073136995</v>
      </c>
    </row>
    <row r="20" spans="1:38" x14ac:dyDescent="0.2">
      <c r="A20" s="18" t="s">
        <v>59</v>
      </c>
      <c r="B20" s="19" t="s">
        <v>44</v>
      </c>
      <c r="C20" s="20">
        <v>41204.831999999988</v>
      </c>
      <c r="D20" s="20">
        <v>86935.487999999998</v>
      </c>
      <c r="E20" s="20">
        <v>118629.62800000003</v>
      </c>
      <c r="F20" s="21">
        <v>148080.80299999999</v>
      </c>
      <c r="G20" s="20">
        <v>50668.585564660003</v>
      </c>
      <c r="H20" s="20">
        <v>82666.395343209995</v>
      </c>
      <c r="I20" s="20">
        <v>115982.0876524699</v>
      </c>
      <c r="J20" s="21">
        <v>157746.49798022996</v>
      </c>
      <c r="K20" s="20">
        <v>44005.464092150018</v>
      </c>
      <c r="L20" s="20">
        <v>81730.237907869989</v>
      </c>
      <c r="M20" s="20">
        <v>115306.77536040996</v>
      </c>
      <c r="N20" s="21">
        <v>143063.46056704008</v>
      </c>
      <c r="O20" s="20">
        <v>48935.449123539962</v>
      </c>
      <c r="P20" s="20">
        <v>78843.555966689964</v>
      </c>
      <c r="Q20" s="20">
        <v>111833.65765319997</v>
      </c>
      <c r="R20" s="21">
        <v>148671.88039475013</v>
      </c>
      <c r="S20" s="20">
        <v>54190.213580379976</v>
      </c>
      <c r="T20" s="20">
        <v>94730.114173750015</v>
      </c>
      <c r="U20" s="20">
        <v>137752.27304639018</v>
      </c>
      <c r="V20" s="21">
        <v>187471.73004044022</v>
      </c>
      <c r="W20" s="20">
        <v>58925.812523540015</v>
      </c>
      <c r="X20" s="20">
        <v>95815.488943439981</v>
      </c>
      <c r="Y20" s="20">
        <v>134347.00341813997</v>
      </c>
      <c r="Z20" s="21">
        <v>175721.64214345976</v>
      </c>
      <c r="AA20" s="20">
        <v>55573.126852460147</v>
      </c>
      <c r="AB20" s="20">
        <v>98620.454972179956</v>
      </c>
      <c r="AC20" s="20">
        <v>152680.8637734002</v>
      </c>
      <c r="AD20" s="21">
        <v>210084.14247222006</v>
      </c>
      <c r="AE20" s="20">
        <v>55622.22597431</v>
      </c>
      <c r="AF20" s="20">
        <v>120225.19058519028</v>
      </c>
      <c r="AG20" s="20">
        <v>191197.37667403996</v>
      </c>
      <c r="AH20" s="21">
        <v>258358.63281789963</v>
      </c>
      <c r="AI20" s="20">
        <v>60630.466236049979</v>
      </c>
      <c r="AJ20" s="20">
        <v>126076.22154534023</v>
      </c>
      <c r="AK20" s="20">
        <v>194570.80033611029</v>
      </c>
      <c r="AL20" s="21">
        <v>265543.67852177966</v>
      </c>
    </row>
    <row r="21" spans="1:38" x14ac:dyDescent="0.2">
      <c r="A21" s="26" t="s">
        <v>60</v>
      </c>
      <c r="B21" s="10" t="s">
        <v>44</v>
      </c>
      <c r="C21" s="16">
        <v>156611.361</v>
      </c>
      <c r="D21" s="16">
        <v>357297.489</v>
      </c>
      <c r="E21" s="16">
        <v>561368.61</v>
      </c>
      <c r="F21" s="17">
        <v>780226.28599999996</v>
      </c>
      <c r="G21" s="16">
        <v>189032.84718123998</v>
      </c>
      <c r="H21" s="16">
        <v>427880.42030149</v>
      </c>
      <c r="I21" s="16">
        <v>678146.33396345994</v>
      </c>
      <c r="J21" s="17">
        <v>958216.02737262996</v>
      </c>
      <c r="K21" s="16">
        <v>204518.27565979</v>
      </c>
      <c r="L21" s="16">
        <v>357905.42721966997</v>
      </c>
      <c r="M21" s="16">
        <v>691368.56746238994</v>
      </c>
      <c r="N21" s="17">
        <v>964397.27171494998</v>
      </c>
      <c r="O21" s="16">
        <v>227290.2610083</v>
      </c>
      <c r="P21" s="16">
        <v>431012.54610035999</v>
      </c>
      <c r="Q21" s="16">
        <v>705943.81150100008</v>
      </c>
      <c r="R21" s="17">
        <v>993538.33052814996</v>
      </c>
      <c r="S21" s="16">
        <v>255134.96413370001</v>
      </c>
      <c r="T21" s="16">
        <v>553309.95176154003</v>
      </c>
      <c r="U21" s="16">
        <v>872004.55047234998</v>
      </c>
      <c r="V21" s="17">
        <v>1178314.2574058298</v>
      </c>
      <c r="W21" s="16">
        <v>225317.35356139005</v>
      </c>
      <c r="X21" s="16">
        <v>489280.81886365992</v>
      </c>
      <c r="Y21" s="16">
        <v>802781.86184171995</v>
      </c>
      <c r="Z21" s="17">
        <v>1131686.9345468299</v>
      </c>
      <c r="AA21" s="16">
        <v>315905.12766486994</v>
      </c>
      <c r="AB21" s="16">
        <v>666490.18526921014</v>
      </c>
      <c r="AC21" s="16">
        <v>1048038.9978238199</v>
      </c>
      <c r="AD21" s="17">
        <v>1460314.1382217901</v>
      </c>
      <c r="AE21" s="16">
        <v>373361.11337352998</v>
      </c>
      <c r="AF21" s="16">
        <v>864137.83030820999</v>
      </c>
      <c r="AG21" s="16">
        <v>1749295.4793138402</v>
      </c>
      <c r="AH21" s="17">
        <v>2818401.6325687901</v>
      </c>
      <c r="AI21" s="16">
        <v>623744.08991636999</v>
      </c>
      <c r="AJ21" s="16">
        <v>1309175.8622227698</v>
      </c>
      <c r="AK21" s="16">
        <v>2060679.9445290698</v>
      </c>
      <c r="AL21" s="17">
        <v>3022415.7981183901</v>
      </c>
    </row>
    <row r="22" spans="1:38" x14ac:dyDescent="0.2">
      <c r="A22" s="26" t="s">
        <v>61</v>
      </c>
      <c r="B22" s="10" t="s">
        <v>44</v>
      </c>
      <c r="C22" s="16">
        <v>159705.9</v>
      </c>
      <c r="D22" s="16">
        <v>288673.3</v>
      </c>
      <c r="E22" s="16">
        <v>401156.66499999998</v>
      </c>
      <c r="F22" s="17">
        <v>497358.61099999998</v>
      </c>
      <c r="G22" s="16">
        <v>187764.47409806002</v>
      </c>
      <c r="H22" s="16">
        <v>303023.65717751003</v>
      </c>
      <c r="I22" s="16">
        <v>414270.63750367</v>
      </c>
      <c r="J22" s="17">
        <v>520189.49228478002</v>
      </c>
      <c r="K22" s="16">
        <v>173602.67147167999</v>
      </c>
      <c r="L22" s="16">
        <v>278947.91404190997</v>
      </c>
      <c r="M22" s="16">
        <v>409081.43254656001</v>
      </c>
      <c r="N22" s="17">
        <v>515277.92933523998</v>
      </c>
      <c r="O22" s="16">
        <v>199024.26211693001</v>
      </c>
      <c r="P22" s="16">
        <v>309188.93204733002</v>
      </c>
      <c r="Q22" s="16">
        <v>430095.6244195</v>
      </c>
      <c r="R22" s="17">
        <v>543928.40980851999</v>
      </c>
      <c r="S22" s="16">
        <v>204519.35706788002</v>
      </c>
      <c r="T22" s="16">
        <v>340549.93804802001</v>
      </c>
      <c r="U22" s="16">
        <v>482628.97247073002</v>
      </c>
      <c r="V22" s="17">
        <v>629975.02234722045</v>
      </c>
      <c r="W22" s="16">
        <v>226963.98869022002</v>
      </c>
      <c r="X22" s="16">
        <v>372976.36740533001</v>
      </c>
      <c r="Y22" s="16">
        <v>525152.85321593995</v>
      </c>
      <c r="Z22" s="17">
        <v>685060.70642672991</v>
      </c>
      <c r="AA22" s="16">
        <v>232448.73681008018</v>
      </c>
      <c r="AB22" s="16">
        <v>406633.3789525599</v>
      </c>
      <c r="AC22" s="16">
        <v>598697.76061549026</v>
      </c>
      <c r="AD22" s="17">
        <v>824744.21852883976</v>
      </c>
      <c r="AE22" s="16">
        <v>205064.47898152005</v>
      </c>
      <c r="AF22" s="16">
        <v>429474.78762355016</v>
      </c>
      <c r="AG22" s="16">
        <v>658176.44569469988</v>
      </c>
      <c r="AH22" s="17">
        <v>901635.05543872947</v>
      </c>
      <c r="AI22" s="16">
        <v>221682.72514102003</v>
      </c>
      <c r="AJ22" s="16">
        <v>457472.56308645033</v>
      </c>
      <c r="AK22" s="16">
        <v>701699.90579265053</v>
      </c>
      <c r="AL22" s="17">
        <v>954198.08878717991</v>
      </c>
    </row>
    <row r="23" spans="1:38" x14ac:dyDescent="0.2">
      <c r="A23" s="9" t="s">
        <v>62</v>
      </c>
      <c r="B23" s="10" t="s">
        <v>39</v>
      </c>
      <c r="C23" s="27">
        <v>37613429</v>
      </c>
      <c r="D23" s="27">
        <v>88543007</v>
      </c>
      <c r="E23" s="27">
        <v>134544082</v>
      </c>
      <c r="F23" s="28">
        <v>193112018</v>
      </c>
      <c r="G23" s="27">
        <v>40722085</v>
      </c>
      <c r="H23" s="27">
        <v>94456832</v>
      </c>
      <c r="I23" s="27">
        <v>150577443</v>
      </c>
      <c r="J23" s="28">
        <v>202556322</v>
      </c>
      <c r="K23" s="27">
        <v>43507166</v>
      </c>
      <c r="L23" s="27">
        <v>99264916</v>
      </c>
      <c r="M23" s="27">
        <v>150839701</v>
      </c>
      <c r="N23" s="28">
        <v>208109759</v>
      </c>
      <c r="O23" s="27">
        <v>40168096</v>
      </c>
      <c r="P23" s="27">
        <v>77911339</v>
      </c>
      <c r="Q23" s="27">
        <v>126326422</v>
      </c>
      <c r="R23" s="28">
        <v>175104790</v>
      </c>
      <c r="S23" s="27">
        <v>41214799</v>
      </c>
      <c r="T23" s="27">
        <v>96294529</v>
      </c>
      <c r="U23" s="27">
        <v>184812918</v>
      </c>
      <c r="V23" s="28">
        <v>242239790</v>
      </c>
      <c r="W23" s="27">
        <v>46762408</v>
      </c>
      <c r="X23" s="27">
        <v>105882485</v>
      </c>
      <c r="Y23" s="27">
        <v>168319245</v>
      </c>
      <c r="Z23" s="28">
        <v>241311293</v>
      </c>
      <c r="AA23" s="27">
        <v>52505366</v>
      </c>
      <c r="AB23" s="27">
        <v>121079717</v>
      </c>
      <c r="AC23" s="27">
        <v>216397793</v>
      </c>
      <c r="AD23" s="28">
        <v>300908983</v>
      </c>
      <c r="AE23" s="27">
        <v>54851057</v>
      </c>
      <c r="AF23" s="27">
        <v>127656532</v>
      </c>
      <c r="AG23" s="27">
        <v>212064368</v>
      </c>
      <c r="AH23" s="28">
        <v>298569102</v>
      </c>
      <c r="AI23" s="27">
        <v>54639725</v>
      </c>
      <c r="AJ23" s="27">
        <v>143709786</v>
      </c>
      <c r="AK23" s="27">
        <v>211707407</v>
      </c>
      <c r="AL23" s="28">
        <v>395478982</v>
      </c>
    </row>
    <row r="24" spans="1:38" x14ac:dyDescent="0.2">
      <c r="A24" s="18" t="s">
        <v>45</v>
      </c>
      <c r="B24" s="19" t="s">
        <v>39</v>
      </c>
      <c r="C24" s="29">
        <v>987727</v>
      </c>
      <c r="D24" s="29">
        <v>2104614</v>
      </c>
      <c r="E24" s="29">
        <v>3259946</v>
      </c>
      <c r="F24" s="30">
        <v>4537172</v>
      </c>
      <c r="G24" s="29">
        <v>884299</v>
      </c>
      <c r="H24" s="29">
        <v>2619310</v>
      </c>
      <c r="I24" s="29">
        <v>4427162</v>
      </c>
      <c r="J24" s="30">
        <v>6003845</v>
      </c>
      <c r="K24" s="29">
        <v>1136304</v>
      </c>
      <c r="L24" s="29">
        <v>2399410</v>
      </c>
      <c r="M24" s="29">
        <v>3712652</v>
      </c>
      <c r="N24" s="30">
        <v>5212447</v>
      </c>
      <c r="O24" s="29">
        <v>1097530</v>
      </c>
      <c r="P24" s="29">
        <v>2112822</v>
      </c>
      <c r="Q24" s="29">
        <v>3669583</v>
      </c>
      <c r="R24" s="30">
        <v>5382538</v>
      </c>
      <c r="S24" s="29">
        <v>1377994</v>
      </c>
      <c r="T24" s="29">
        <v>2944281</v>
      </c>
      <c r="U24" s="29">
        <v>4612065</v>
      </c>
      <c r="V24" s="30">
        <v>6339933</v>
      </c>
      <c r="W24" s="29">
        <v>1118085</v>
      </c>
      <c r="X24" s="29">
        <v>2202664</v>
      </c>
      <c r="Y24" s="29">
        <v>3738200</v>
      </c>
      <c r="Z24" s="30">
        <v>5167387</v>
      </c>
      <c r="AA24" s="29">
        <v>1278614</v>
      </c>
      <c r="AB24" s="29">
        <v>2702432</v>
      </c>
      <c r="AC24" s="29">
        <v>4320953</v>
      </c>
      <c r="AD24" s="30">
        <v>5220701</v>
      </c>
      <c r="AE24" s="29">
        <v>1182527</v>
      </c>
      <c r="AF24" s="29">
        <v>2472645</v>
      </c>
      <c r="AG24" s="29">
        <v>3464418</v>
      </c>
      <c r="AH24" s="30">
        <v>4636721</v>
      </c>
      <c r="AI24" s="29">
        <v>1562792</v>
      </c>
      <c r="AJ24" s="29">
        <v>9060298</v>
      </c>
      <c r="AK24" s="29">
        <v>2837172</v>
      </c>
      <c r="AL24" s="30">
        <v>3968805</v>
      </c>
    </row>
    <row r="25" spans="1:38" x14ac:dyDescent="0.2">
      <c r="A25" s="13" t="s">
        <v>46</v>
      </c>
      <c r="B25" s="6" t="s">
        <v>39</v>
      </c>
      <c r="C25" s="22" t="s">
        <v>47</v>
      </c>
      <c r="D25" s="22" t="s">
        <v>47</v>
      </c>
      <c r="E25" s="22" t="s">
        <v>47</v>
      </c>
      <c r="F25" s="23" t="s">
        <v>47</v>
      </c>
      <c r="G25" s="22" t="s">
        <v>47</v>
      </c>
      <c r="H25" s="22" t="s">
        <v>47</v>
      </c>
      <c r="I25" s="22" t="s">
        <v>47</v>
      </c>
      <c r="J25" s="23" t="s">
        <v>47</v>
      </c>
      <c r="K25" s="22" t="s">
        <v>47</v>
      </c>
      <c r="L25" s="22">
        <v>177499</v>
      </c>
      <c r="M25" s="22">
        <v>255022</v>
      </c>
      <c r="N25" s="23">
        <v>330192</v>
      </c>
      <c r="O25" s="22">
        <v>87539</v>
      </c>
      <c r="P25" s="22">
        <v>151037</v>
      </c>
      <c r="Q25" s="22">
        <v>310029</v>
      </c>
      <c r="R25" s="23">
        <v>347190</v>
      </c>
      <c r="S25" s="22">
        <v>80160</v>
      </c>
      <c r="T25" s="22">
        <v>173985</v>
      </c>
      <c r="U25" s="22">
        <v>267498</v>
      </c>
      <c r="V25" s="23">
        <v>360598</v>
      </c>
      <c r="W25" s="22">
        <v>52813</v>
      </c>
      <c r="X25" s="22">
        <v>89977</v>
      </c>
      <c r="Y25" s="22">
        <v>134739</v>
      </c>
      <c r="Z25" s="23">
        <v>169390</v>
      </c>
      <c r="AA25" s="22">
        <v>33030</v>
      </c>
      <c r="AB25" s="22">
        <v>65992</v>
      </c>
      <c r="AC25" s="22">
        <v>95751</v>
      </c>
      <c r="AD25" s="23">
        <v>132905</v>
      </c>
      <c r="AE25" s="22">
        <v>25474</v>
      </c>
      <c r="AF25" s="22">
        <v>37146</v>
      </c>
      <c r="AG25" s="22">
        <v>48632</v>
      </c>
      <c r="AH25" s="23">
        <v>71837</v>
      </c>
      <c r="AI25" s="22">
        <v>12258</v>
      </c>
      <c r="AJ25" s="22">
        <v>26998</v>
      </c>
      <c r="AK25" s="22">
        <v>40633</v>
      </c>
      <c r="AL25" s="23">
        <v>59635</v>
      </c>
    </row>
    <row r="26" spans="1:38" x14ac:dyDescent="0.2">
      <c r="A26" s="13" t="s">
        <v>48</v>
      </c>
      <c r="B26" s="6" t="s">
        <v>39</v>
      </c>
      <c r="C26" s="22" t="s">
        <v>47</v>
      </c>
      <c r="D26" s="22" t="s">
        <v>47</v>
      </c>
      <c r="E26" s="22" t="s">
        <v>47</v>
      </c>
      <c r="F26" s="23" t="s">
        <v>47</v>
      </c>
      <c r="G26" s="22" t="s">
        <v>47</v>
      </c>
      <c r="H26" s="22" t="s">
        <v>47</v>
      </c>
      <c r="I26" s="22" t="s">
        <v>47</v>
      </c>
      <c r="J26" s="23" t="s">
        <v>47</v>
      </c>
      <c r="K26" s="22" t="s">
        <v>47</v>
      </c>
      <c r="L26" s="22" t="s">
        <v>47</v>
      </c>
      <c r="M26" s="22" t="s">
        <v>47</v>
      </c>
      <c r="N26" s="23" t="s">
        <v>47</v>
      </c>
      <c r="O26" s="22" t="s">
        <v>47</v>
      </c>
      <c r="P26" s="22" t="s">
        <v>47</v>
      </c>
      <c r="Q26" s="22" t="s">
        <v>47</v>
      </c>
      <c r="R26" s="23" t="s">
        <v>47</v>
      </c>
      <c r="S26" s="22" t="s">
        <v>47</v>
      </c>
      <c r="T26" s="22" t="s">
        <v>47</v>
      </c>
      <c r="U26" s="22" t="s">
        <v>47</v>
      </c>
      <c r="V26" s="23">
        <v>4935066</v>
      </c>
      <c r="W26" s="22">
        <v>916066</v>
      </c>
      <c r="X26" s="22">
        <v>1734423</v>
      </c>
      <c r="Y26" s="22">
        <v>2977895</v>
      </c>
      <c r="Z26" s="23">
        <v>4169898</v>
      </c>
      <c r="AA26" s="22">
        <v>897346</v>
      </c>
      <c r="AB26" s="22">
        <v>1928534</v>
      </c>
      <c r="AC26" s="22">
        <v>3066195</v>
      </c>
      <c r="AD26" s="23">
        <v>3880748</v>
      </c>
      <c r="AE26" s="22">
        <v>669990</v>
      </c>
      <c r="AF26" s="22">
        <v>1561196</v>
      </c>
      <c r="AG26" s="22">
        <v>2384217</v>
      </c>
      <c r="AH26" s="23">
        <v>2972571</v>
      </c>
      <c r="AI26" s="22">
        <v>1258342</v>
      </c>
      <c r="AJ26" s="22">
        <v>7586811</v>
      </c>
      <c r="AK26" s="22">
        <v>1506362</v>
      </c>
      <c r="AL26" s="23">
        <v>2103425</v>
      </c>
    </row>
    <row r="27" spans="1:38" x14ac:dyDescent="0.2">
      <c r="A27" s="13" t="s">
        <v>49</v>
      </c>
      <c r="B27" s="6" t="s">
        <v>39</v>
      </c>
      <c r="C27" s="22" t="s">
        <v>47</v>
      </c>
      <c r="D27" s="22" t="s">
        <v>47</v>
      </c>
      <c r="E27" s="22" t="s">
        <v>47</v>
      </c>
      <c r="F27" s="23" t="s">
        <v>47</v>
      </c>
      <c r="G27" s="22" t="s">
        <v>47</v>
      </c>
      <c r="H27" s="22" t="s">
        <v>47</v>
      </c>
      <c r="I27" s="22" t="s">
        <v>47</v>
      </c>
      <c r="J27" s="23" t="s">
        <v>47</v>
      </c>
      <c r="K27" s="22" t="s">
        <v>47</v>
      </c>
      <c r="L27" s="22" t="s">
        <v>47</v>
      </c>
      <c r="M27" s="22" t="s">
        <v>47</v>
      </c>
      <c r="N27" s="23" t="s">
        <v>47</v>
      </c>
      <c r="O27" s="22" t="s">
        <v>47</v>
      </c>
      <c r="P27" s="22" t="s">
        <v>47</v>
      </c>
      <c r="Q27" s="22" t="s">
        <v>47</v>
      </c>
      <c r="R27" s="23" t="s">
        <v>47</v>
      </c>
      <c r="S27" s="22" t="s">
        <v>47</v>
      </c>
      <c r="T27" s="22" t="s">
        <v>47</v>
      </c>
      <c r="U27" s="22" t="s">
        <v>47</v>
      </c>
      <c r="V27" s="23">
        <v>478326</v>
      </c>
      <c r="W27" s="22">
        <v>80723</v>
      </c>
      <c r="X27" s="22">
        <v>233397</v>
      </c>
      <c r="Y27" s="22">
        <v>381343</v>
      </c>
      <c r="Z27" s="23">
        <v>508947</v>
      </c>
      <c r="AA27" s="22">
        <v>204551</v>
      </c>
      <c r="AB27" s="22">
        <v>415052</v>
      </c>
      <c r="AC27" s="22">
        <v>715084</v>
      </c>
      <c r="AD27" s="23">
        <v>977131</v>
      </c>
      <c r="AE27" s="22">
        <v>442411</v>
      </c>
      <c r="AF27" s="22">
        <v>791727</v>
      </c>
      <c r="AG27" s="22">
        <v>909864</v>
      </c>
      <c r="AH27" s="23">
        <v>1423134</v>
      </c>
      <c r="AI27" s="22">
        <v>237577</v>
      </c>
      <c r="AJ27" s="22">
        <v>1342233</v>
      </c>
      <c r="AK27" s="22">
        <v>1132885</v>
      </c>
      <c r="AL27" s="23">
        <v>1466758</v>
      </c>
    </row>
    <row r="28" spans="1:38" x14ac:dyDescent="0.2">
      <c r="A28" s="13" t="s">
        <v>50</v>
      </c>
      <c r="B28" s="6" t="s">
        <v>39</v>
      </c>
      <c r="C28" s="22" t="s">
        <v>47</v>
      </c>
      <c r="D28" s="22" t="s">
        <v>47</v>
      </c>
      <c r="E28" s="22" t="s">
        <v>47</v>
      </c>
      <c r="F28" s="23" t="s">
        <v>47</v>
      </c>
      <c r="G28" s="22" t="s">
        <v>47</v>
      </c>
      <c r="H28" s="22" t="s">
        <v>47</v>
      </c>
      <c r="I28" s="22" t="s">
        <v>47</v>
      </c>
      <c r="J28" s="23" t="s">
        <v>47</v>
      </c>
      <c r="K28" s="22" t="s">
        <v>47</v>
      </c>
      <c r="L28" s="22" t="s">
        <v>47</v>
      </c>
      <c r="M28" s="22" t="s">
        <v>47</v>
      </c>
      <c r="N28" s="23" t="s">
        <v>47</v>
      </c>
      <c r="O28" s="22" t="s">
        <v>47</v>
      </c>
      <c r="P28" s="22" t="s">
        <v>47</v>
      </c>
      <c r="Q28" s="22" t="s">
        <v>47</v>
      </c>
      <c r="R28" s="23" t="s">
        <v>47</v>
      </c>
      <c r="S28" s="22" t="s">
        <v>47</v>
      </c>
      <c r="T28" s="22" t="s">
        <v>47</v>
      </c>
      <c r="U28" s="22" t="s">
        <v>47</v>
      </c>
      <c r="V28" s="23">
        <v>512312</v>
      </c>
      <c r="W28" s="22">
        <v>56460</v>
      </c>
      <c r="X28" s="22">
        <v>120852</v>
      </c>
      <c r="Y28" s="22">
        <v>207299</v>
      </c>
      <c r="Z28" s="23">
        <v>268802</v>
      </c>
      <c r="AA28" s="22">
        <v>131961</v>
      </c>
      <c r="AB28" s="22">
        <v>268946</v>
      </c>
      <c r="AC28" s="22">
        <v>407750</v>
      </c>
      <c r="AD28" s="23">
        <v>180427</v>
      </c>
      <c r="AE28" s="22">
        <v>33473</v>
      </c>
      <c r="AF28" s="22">
        <v>59324</v>
      </c>
      <c r="AG28" s="22">
        <v>85770</v>
      </c>
      <c r="AH28" s="23">
        <v>118908</v>
      </c>
      <c r="AI28" s="22">
        <v>42927</v>
      </c>
      <c r="AJ28" s="22">
        <v>80139</v>
      </c>
      <c r="AK28" s="22">
        <v>115933</v>
      </c>
      <c r="AL28" s="23">
        <v>208836</v>
      </c>
    </row>
    <row r="29" spans="1:38" x14ac:dyDescent="0.2">
      <c r="A29" s="13" t="s">
        <v>51</v>
      </c>
      <c r="B29" s="6" t="s">
        <v>39</v>
      </c>
      <c r="C29" s="22" t="s">
        <v>47</v>
      </c>
      <c r="D29" s="22" t="s">
        <v>47</v>
      </c>
      <c r="E29" s="22" t="s">
        <v>47</v>
      </c>
      <c r="F29" s="23" t="s">
        <v>47</v>
      </c>
      <c r="G29" s="22" t="s">
        <v>47</v>
      </c>
      <c r="H29" s="22" t="s">
        <v>47</v>
      </c>
      <c r="I29" s="22" t="s">
        <v>47</v>
      </c>
      <c r="J29" s="23" t="s">
        <v>47</v>
      </c>
      <c r="K29" s="22" t="s">
        <v>47</v>
      </c>
      <c r="L29" s="22" t="s">
        <v>47</v>
      </c>
      <c r="M29" s="22" t="s">
        <v>47</v>
      </c>
      <c r="N29" s="23" t="s">
        <v>47</v>
      </c>
      <c r="O29" s="22" t="s">
        <v>47</v>
      </c>
      <c r="P29" s="22" t="s">
        <v>47</v>
      </c>
      <c r="Q29" s="22" t="s">
        <v>47</v>
      </c>
      <c r="R29" s="23" t="s">
        <v>47</v>
      </c>
      <c r="S29" s="22" t="s">
        <v>47</v>
      </c>
      <c r="T29" s="22" t="s">
        <v>47</v>
      </c>
      <c r="U29" s="22" t="s">
        <v>47</v>
      </c>
      <c r="V29" s="23">
        <v>45784</v>
      </c>
      <c r="W29" s="22">
        <v>9807</v>
      </c>
      <c r="X29" s="22">
        <v>19835</v>
      </c>
      <c r="Y29" s="22">
        <v>30602</v>
      </c>
      <c r="Z29" s="23">
        <v>42299</v>
      </c>
      <c r="AA29" s="22">
        <v>9656</v>
      </c>
      <c r="AB29" s="22">
        <v>19329</v>
      </c>
      <c r="AC29" s="22">
        <v>29113</v>
      </c>
      <c r="AD29" s="23">
        <v>39634</v>
      </c>
      <c r="AE29" s="22">
        <v>9121</v>
      </c>
      <c r="AF29" s="22">
        <v>18183</v>
      </c>
      <c r="AG29" s="22">
        <v>27616</v>
      </c>
      <c r="AH29" s="23">
        <v>37700</v>
      </c>
      <c r="AI29" s="22">
        <v>8845</v>
      </c>
      <c r="AJ29" s="22">
        <v>18031</v>
      </c>
      <c r="AK29" s="22">
        <v>27712</v>
      </c>
      <c r="AL29" s="23">
        <v>103257</v>
      </c>
    </row>
    <row r="30" spans="1:38" x14ac:dyDescent="0.2">
      <c r="A30" s="13" t="s">
        <v>52</v>
      </c>
      <c r="B30" s="6" t="s">
        <v>39</v>
      </c>
      <c r="C30" s="22">
        <v>1000</v>
      </c>
      <c r="D30" s="22">
        <v>1939</v>
      </c>
      <c r="E30" s="22">
        <v>2774</v>
      </c>
      <c r="F30" s="23">
        <v>3745</v>
      </c>
      <c r="G30" s="22">
        <v>709</v>
      </c>
      <c r="H30" s="22">
        <v>3204</v>
      </c>
      <c r="I30" s="22">
        <v>4165</v>
      </c>
      <c r="J30" s="23">
        <v>6951</v>
      </c>
      <c r="K30" s="22">
        <v>814</v>
      </c>
      <c r="L30" s="22">
        <v>2094</v>
      </c>
      <c r="M30" s="22">
        <v>3493</v>
      </c>
      <c r="N30" s="23">
        <v>6388</v>
      </c>
      <c r="O30" s="22">
        <v>1701</v>
      </c>
      <c r="P30" s="22">
        <v>2906</v>
      </c>
      <c r="Q30" s="22">
        <v>4662</v>
      </c>
      <c r="R30" s="23">
        <v>6710</v>
      </c>
      <c r="S30" s="22">
        <v>1637</v>
      </c>
      <c r="T30" s="22">
        <v>3379</v>
      </c>
      <c r="U30" s="22">
        <v>5232</v>
      </c>
      <c r="V30" s="23">
        <v>7847</v>
      </c>
      <c r="W30" s="22">
        <v>2216</v>
      </c>
      <c r="X30" s="22">
        <v>4180</v>
      </c>
      <c r="Y30" s="22">
        <v>6322</v>
      </c>
      <c r="Z30" s="23">
        <v>8051</v>
      </c>
      <c r="AA30" s="22">
        <v>2070</v>
      </c>
      <c r="AB30" s="22">
        <v>4579</v>
      </c>
      <c r="AC30" s="22">
        <v>7060</v>
      </c>
      <c r="AD30" s="23">
        <v>9856</v>
      </c>
      <c r="AE30" s="22">
        <v>2058</v>
      </c>
      <c r="AF30" s="22">
        <v>5069</v>
      </c>
      <c r="AG30" s="22">
        <v>8319</v>
      </c>
      <c r="AH30" s="23">
        <v>12571</v>
      </c>
      <c r="AI30" s="22">
        <v>2843</v>
      </c>
      <c r="AJ30" s="22">
        <v>6072</v>
      </c>
      <c r="AK30" s="22">
        <v>9391</v>
      </c>
      <c r="AL30" s="23">
        <v>13842</v>
      </c>
    </row>
    <row r="31" spans="1:38" x14ac:dyDescent="0.2">
      <c r="A31" s="18" t="s">
        <v>53</v>
      </c>
      <c r="B31" s="19" t="s">
        <v>39</v>
      </c>
      <c r="C31" s="29">
        <v>11279912</v>
      </c>
      <c r="D31" s="29">
        <v>25617944</v>
      </c>
      <c r="E31" s="29">
        <v>40392954</v>
      </c>
      <c r="F31" s="30">
        <v>59595204</v>
      </c>
      <c r="G31" s="29">
        <v>11479391</v>
      </c>
      <c r="H31" s="29">
        <v>25788842</v>
      </c>
      <c r="I31" s="29">
        <v>43151617</v>
      </c>
      <c r="J31" s="30">
        <v>57633509</v>
      </c>
      <c r="K31" s="29">
        <v>11642737</v>
      </c>
      <c r="L31" s="29">
        <v>26871224</v>
      </c>
      <c r="M31" s="29">
        <v>40252592</v>
      </c>
      <c r="N31" s="30">
        <v>55158256</v>
      </c>
      <c r="O31" s="29">
        <v>9339975</v>
      </c>
      <c r="P31" s="29">
        <v>16793049</v>
      </c>
      <c r="Q31" s="29">
        <v>27876557</v>
      </c>
      <c r="R31" s="30">
        <v>39886810</v>
      </c>
      <c r="S31" s="29">
        <v>9990992</v>
      </c>
      <c r="T31" s="29">
        <v>23742278</v>
      </c>
      <c r="U31" s="29">
        <v>50188124</v>
      </c>
      <c r="V31" s="30">
        <v>64681020</v>
      </c>
      <c r="W31" s="29">
        <v>10675132</v>
      </c>
      <c r="X31" s="29">
        <v>25243029</v>
      </c>
      <c r="Y31" s="29">
        <v>41429022</v>
      </c>
      <c r="Z31" s="30">
        <v>59741237</v>
      </c>
      <c r="AA31" s="29">
        <v>12397021</v>
      </c>
      <c r="AB31" s="29">
        <v>32705061</v>
      </c>
      <c r="AC31" s="29">
        <v>63423400</v>
      </c>
      <c r="AD31" s="30">
        <v>87328998</v>
      </c>
      <c r="AE31" s="29">
        <v>13361895</v>
      </c>
      <c r="AF31" s="29">
        <v>32394923</v>
      </c>
      <c r="AG31" s="29">
        <v>55183753</v>
      </c>
      <c r="AH31" s="30">
        <v>78698713</v>
      </c>
      <c r="AI31" s="29">
        <v>15864505</v>
      </c>
      <c r="AJ31" s="29">
        <v>38964298</v>
      </c>
      <c r="AK31" s="29">
        <v>53213197</v>
      </c>
      <c r="AL31" s="30">
        <v>103918576</v>
      </c>
    </row>
    <row r="32" spans="1:38" x14ac:dyDescent="0.2">
      <c r="A32" s="18" t="s">
        <v>54</v>
      </c>
      <c r="B32" s="19" t="s">
        <v>39</v>
      </c>
      <c r="C32" s="29">
        <v>2218522</v>
      </c>
      <c r="D32" s="29">
        <v>6726658</v>
      </c>
      <c r="E32" s="29">
        <v>9193538</v>
      </c>
      <c r="F32" s="30">
        <v>11086927</v>
      </c>
      <c r="G32" s="29">
        <v>2333279</v>
      </c>
      <c r="H32" s="29">
        <v>7125341</v>
      </c>
      <c r="I32" s="29">
        <v>9942280</v>
      </c>
      <c r="J32" s="30">
        <v>12317853</v>
      </c>
      <c r="K32" s="29">
        <v>3202107</v>
      </c>
      <c r="L32" s="29">
        <v>9411611</v>
      </c>
      <c r="M32" s="29">
        <v>13975836</v>
      </c>
      <c r="N32" s="30">
        <v>17033842</v>
      </c>
      <c r="O32" s="29">
        <v>3174577</v>
      </c>
      <c r="P32" s="29">
        <v>6243716</v>
      </c>
      <c r="Q32" s="29">
        <v>8260416</v>
      </c>
      <c r="R32" s="30">
        <v>10730002</v>
      </c>
      <c r="S32" s="29">
        <v>2171473</v>
      </c>
      <c r="T32" s="29">
        <v>6824056</v>
      </c>
      <c r="U32" s="29">
        <v>9932286</v>
      </c>
      <c r="V32" s="30">
        <v>12620220</v>
      </c>
      <c r="W32" s="29">
        <v>2779693</v>
      </c>
      <c r="X32" s="29">
        <v>7120886</v>
      </c>
      <c r="Y32" s="29">
        <v>10112291</v>
      </c>
      <c r="Z32" s="30">
        <v>13014840</v>
      </c>
      <c r="AA32" s="29">
        <v>2831232</v>
      </c>
      <c r="AB32" s="29">
        <v>7368468</v>
      </c>
      <c r="AC32" s="29">
        <v>10228582</v>
      </c>
      <c r="AD32" s="30">
        <v>13860106</v>
      </c>
      <c r="AE32" s="29">
        <v>3442143</v>
      </c>
      <c r="AF32" s="29">
        <v>8950433</v>
      </c>
      <c r="AG32" s="29">
        <v>12280618</v>
      </c>
      <c r="AH32" s="30">
        <v>15448136</v>
      </c>
      <c r="AI32" s="29">
        <v>3012995</v>
      </c>
      <c r="AJ32" s="29">
        <v>8075242</v>
      </c>
      <c r="AK32" s="29">
        <v>11602465</v>
      </c>
      <c r="AL32" s="30">
        <v>14688695</v>
      </c>
    </row>
    <row r="33" spans="1:38" x14ac:dyDescent="0.2">
      <c r="A33" s="18" t="s">
        <v>55</v>
      </c>
      <c r="B33" s="19" t="s">
        <v>39</v>
      </c>
      <c r="C33" s="29">
        <v>772964</v>
      </c>
      <c r="D33" s="29">
        <v>1750832</v>
      </c>
      <c r="E33" s="29">
        <v>2774549</v>
      </c>
      <c r="F33" s="30">
        <v>3932793</v>
      </c>
      <c r="G33" s="29">
        <v>926844</v>
      </c>
      <c r="H33" s="29">
        <v>2175289</v>
      </c>
      <c r="I33" s="29">
        <v>3427706</v>
      </c>
      <c r="J33" s="30">
        <v>4731289</v>
      </c>
      <c r="K33" s="29">
        <v>951686</v>
      </c>
      <c r="L33" s="29">
        <v>2229859</v>
      </c>
      <c r="M33" s="29">
        <v>3413369</v>
      </c>
      <c r="N33" s="30">
        <v>4934083</v>
      </c>
      <c r="O33" s="29">
        <v>1069070</v>
      </c>
      <c r="P33" s="29">
        <v>2436373</v>
      </c>
      <c r="Q33" s="29">
        <v>4192313</v>
      </c>
      <c r="R33" s="30">
        <v>5244630</v>
      </c>
      <c r="S33" s="29">
        <v>1159208</v>
      </c>
      <c r="T33" s="29">
        <v>2542393</v>
      </c>
      <c r="U33" s="29">
        <v>4102329</v>
      </c>
      <c r="V33" s="30">
        <v>5426989</v>
      </c>
      <c r="W33" s="29">
        <v>1242845</v>
      </c>
      <c r="X33" s="29">
        <v>2522061</v>
      </c>
      <c r="Y33" s="29">
        <v>4047737</v>
      </c>
      <c r="Z33" s="30">
        <v>6049534</v>
      </c>
      <c r="AA33" s="29">
        <v>1782857</v>
      </c>
      <c r="AB33" s="29">
        <v>3798880</v>
      </c>
      <c r="AC33" s="29">
        <v>6147123</v>
      </c>
      <c r="AD33" s="30">
        <v>8892968</v>
      </c>
      <c r="AE33" s="29">
        <v>2306204</v>
      </c>
      <c r="AF33" s="29">
        <v>4879532</v>
      </c>
      <c r="AG33" s="29">
        <v>7503103</v>
      </c>
      <c r="AH33" s="30">
        <v>10578448</v>
      </c>
      <c r="AI33" s="29">
        <v>2101407</v>
      </c>
      <c r="AJ33" s="29">
        <v>4573688</v>
      </c>
      <c r="AK33" s="29">
        <v>7432243</v>
      </c>
      <c r="AL33" s="30">
        <v>10689599</v>
      </c>
    </row>
    <row r="34" spans="1:38" x14ac:dyDescent="0.2">
      <c r="A34" s="18" t="s">
        <v>56</v>
      </c>
      <c r="B34" s="19" t="s">
        <v>39</v>
      </c>
      <c r="C34" s="29">
        <v>86844</v>
      </c>
      <c r="D34" s="29">
        <v>196816</v>
      </c>
      <c r="E34" s="29">
        <v>297745</v>
      </c>
      <c r="F34" s="30">
        <v>423567</v>
      </c>
      <c r="G34" s="29">
        <v>98425</v>
      </c>
      <c r="H34" s="29">
        <v>226950</v>
      </c>
      <c r="I34" s="29">
        <v>355832</v>
      </c>
      <c r="J34" s="30">
        <v>729707</v>
      </c>
      <c r="K34" s="29">
        <v>110306</v>
      </c>
      <c r="L34" s="29">
        <v>198787</v>
      </c>
      <c r="M34" s="29">
        <v>313282</v>
      </c>
      <c r="N34" s="30">
        <v>440595</v>
      </c>
      <c r="O34" s="29">
        <v>87108</v>
      </c>
      <c r="P34" s="29">
        <v>174563</v>
      </c>
      <c r="Q34" s="29">
        <v>281678</v>
      </c>
      <c r="R34" s="30">
        <v>409601</v>
      </c>
      <c r="S34" s="29">
        <v>111688</v>
      </c>
      <c r="T34" s="29">
        <v>241396</v>
      </c>
      <c r="U34" s="29">
        <v>365859</v>
      </c>
      <c r="V34" s="30">
        <v>548029</v>
      </c>
      <c r="W34" s="29">
        <v>155779</v>
      </c>
      <c r="X34" s="29">
        <v>386065</v>
      </c>
      <c r="Y34" s="29">
        <v>675838</v>
      </c>
      <c r="Z34" s="30">
        <v>904109</v>
      </c>
      <c r="AA34" s="29">
        <v>247263</v>
      </c>
      <c r="AB34" s="29">
        <v>498805</v>
      </c>
      <c r="AC34" s="29">
        <v>744618</v>
      </c>
      <c r="AD34" s="30">
        <v>1048191</v>
      </c>
      <c r="AE34" s="29">
        <v>225290</v>
      </c>
      <c r="AF34" s="29">
        <v>502793</v>
      </c>
      <c r="AG34" s="29">
        <v>1085090</v>
      </c>
      <c r="AH34" s="30">
        <v>1550643</v>
      </c>
      <c r="AI34" s="29">
        <v>368201</v>
      </c>
      <c r="AJ34" s="29">
        <v>775738</v>
      </c>
      <c r="AK34" s="29">
        <v>1273613</v>
      </c>
      <c r="AL34" s="30">
        <v>1801528</v>
      </c>
    </row>
    <row r="35" spans="1:38" x14ac:dyDescent="0.2">
      <c r="A35" s="18" t="s">
        <v>57</v>
      </c>
      <c r="B35" s="19" t="s">
        <v>39</v>
      </c>
      <c r="C35" s="29">
        <v>7144725</v>
      </c>
      <c r="D35" s="29">
        <v>16152109</v>
      </c>
      <c r="E35" s="29">
        <v>26414031</v>
      </c>
      <c r="F35" s="30">
        <v>38296978</v>
      </c>
      <c r="G35" s="29">
        <v>9097757</v>
      </c>
      <c r="H35" s="29">
        <v>19900065</v>
      </c>
      <c r="I35" s="29">
        <v>32929748</v>
      </c>
      <c r="J35" s="30">
        <v>45662023</v>
      </c>
      <c r="K35" s="29">
        <v>11068885</v>
      </c>
      <c r="L35" s="29">
        <v>22719927</v>
      </c>
      <c r="M35" s="29">
        <v>34639536</v>
      </c>
      <c r="N35" s="30">
        <v>48790230</v>
      </c>
      <c r="O35" s="29">
        <v>9472615</v>
      </c>
      <c r="P35" s="29">
        <v>18747677</v>
      </c>
      <c r="Q35" s="29">
        <v>30896378</v>
      </c>
      <c r="R35" s="30">
        <v>43219929</v>
      </c>
      <c r="S35" s="29">
        <v>9569026</v>
      </c>
      <c r="T35" s="29">
        <v>20539107</v>
      </c>
      <c r="U35" s="29">
        <v>41838292</v>
      </c>
      <c r="V35" s="30">
        <v>55334418</v>
      </c>
      <c r="W35" s="29">
        <v>10181116</v>
      </c>
      <c r="X35" s="29">
        <v>21676301</v>
      </c>
      <c r="Y35" s="29">
        <v>34287803</v>
      </c>
      <c r="Z35" s="30">
        <v>50976424</v>
      </c>
      <c r="AA35" s="29">
        <v>11151218</v>
      </c>
      <c r="AB35" s="29">
        <v>22878423</v>
      </c>
      <c r="AC35" s="29">
        <v>42610482</v>
      </c>
      <c r="AD35" s="30">
        <v>61511189</v>
      </c>
      <c r="AE35" s="29">
        <v>12026877</v>
      </c>
      <c r="AF35" s="29">
        <v>25985300</v>
      </c>
      <c r="AG35" s="29">
        <v>44007838</v>
      </c>
      <c r="AH35" s="30">
        <v>62552963</v>
      </c>
      <c r="AI35" s="29">
        <v>9610133</v>
      </c>
      <c r="AJ35" s="29">
        <v>26073161</v>
      </c>
      <c r="AK35" s="29">
        <v>40653785</v>
      </c>
      <c r="AL35" s="30">
        <v>94105982</v>
      </c>
    </row>
    <row r="36" spans="1:38" x14ac:dyDescent="0.2">
      <c r="A36" s="18" t="s">
        <v>58</v>
      </c>
      <c r="B36" s="19" t="s">
        <v>39</v>
      </c>
      <c r="C36" s="29">
        <v>8030286</v>
      </c>
      <c r="D36" s="29">
        <v>20009718</v>
      </c>
      <c r="E36" s="29">
        <v>28255512</v>
      </c>
      <c r="F36" s="30">
        <v>38164033</v>
      </c>
      <c r="G36" s="29">
        <v>7928744</v>
      </c>
      <c r="H36" s="29">
        <v>18988504</v>
      </c>
      <c r="I36" s="29">
        <v>29077231</v>
      </c>
      <c r="J36" s="30">
        <v>39704379</v>
      </c>
      <c r="K36" s="29">
        <v>8091138</v>
      </c>
      <c r="L36" s="29">
        <v>18936130</v>
      </c>
      <c r="M36" s="29">
        <v>28539062</v>
      </c>
      <c r="N36" s="30">
        <v>39691288</v>
      </c>
      <c r="O36" s="29">
        <v>8314528</v>
      </c>
      <c r="P36" s="29">
        <v>18924269</v>
      </c>
      <c r="Q36" s="29">
        <v>29946173</v>
      </c>
      <c r="R36" s="30">
        <v>39659499</v>
      </c>
      <c r="S36" s="29">
        <v>8690823</v>
      </c>
      <c r="T36" s="29">
        <v>19717846</v>
      </c>
      <c r="U36" s="29">
        <v>30842382</v>
      </c>
      <c r="V36" s="30">
        <v>39923837</v>
      </c>
      <c r="W36" s="29">
        <v>8567068</v>
      </c>
      <c r="X36" s="29">
        <v>18922994</v>
      </c>
      <c r="Y36" s="29">
        <v>29528199</v>
      </c>
      <c r="Z36" s="30">
        <v>40131233</v>
      </c>
      <c r="AA36" s="29">
        <v>8507289</v>
      </c>
      <c r="AB36" s="29">
        <v>19568736</v>
      </c>
      <c r="AC36" s="29">
        <v>30364533</v>
      </c>
      <c r="AD36" s="30">
        <v>41315586</v>
      </c>
      <c r="AE36" s="29">
        <v>8805996</v>
      </c>
      <c r="AF36" s="29">
        <v>20010344</v>
      </c>
      <c r="AG36" s="29">
        <v>31878482</v>
      </c>
      <c r="AH36" s="30">
        <v>44506337</v>
      </c>
      <c r="AI36" s="29">
        <v>10049994</v>
      </c>
      <c r="AJ36" s="29">
        <v>22349565</v>
      </c>
      <c r="AK36" s="29">
        <v>37192788</v>
      </c>
      <c r="AL36" s="30">
        <v>54435536</v>
      </c>
    </row>
    <row r="37" spans="1:38" x14ac:dyDescent="0.2">
      <c r="A37" s="18" t="s">
        <v>59</v>
      </c>
      <c r="B37" s="19" t="s">
        <v>39</v>
      </c>
      <c r="C37" s="29">
        <v>7092449</v>
      </c>
      <c r="D37" s="29">
        <v>15984316</v>
      </c>
      <c r="E37" s="29">
        <v>23955807</v>
      </c>
      <c r="F37" s="30">
        <v>37075344</v>
      </c>
      <c r="G37" s="29">
        <v>7973346</v>
      </c>
      <c r="H37" s="29">
        <v>17632531</v>
      </c>
      <c r="I37" s="29">
        <v>27265867</v>
      </c>
      <c r="J37" s="30">
        <v>35773717</v>
      </c>
      <c r="K37" s="29">
        <v>7304003</v>
      </c>
      <c r="L37" s="29">
        <v>16497968</v>
      </c>
      <c r="M37" s="29">
        <v>25993372</v>
      </c>
      <c r="N37" s="30">
        <v>36849018</v>
      </c>
      <c r="O37" s="29">
        <v>7612693</v>
      </c>
      <c r="P37" s="29">
        <v>12478870</v>
      </c>
      <c r="Q37" s="29">
        <v>21203324</v>
      </c>
      <c r="R37" s="30">
        <v>30571781</v>
      </c>
      <c r="S37" s="29">
        <v>8143595</v>
      </c>
      <c r="T37" s="29">
        <v>19743172</v>
      </c>
      <c r="U37" s="29">
        <v>42931581</v>
      </c>
      <c r="V37" s="30">
        <v>57365344</v>
      </c>
      <c r="W37" s="29">
        <v>12042690</v>
      </c>
      <c r="X37" s="29">
        <v>27808485</v>
      </c>
      <c r="Y37" s="29">
        <v>44500155</v>
      </c>
      <c r="Z37" s="30">
        <v>65326529</v>
      </c>
      <c r="AA37" s="29">
        <v>14309872</v>
      </c>
      <c r="AB37" s="29">
        <v>31558912</v>
      </c>
      <c r="AC37" s="29">
        <v>58558102</v>
      </c>
      <c r="AD37" s="30">
        <v>81731244</v>
      </c>
      <c r="AE37" s="29">
        <v>13500125</v>
      </c>
      <c r="AF37" s="29">
        <v>32460562</v>
      </c>
      <c r="AG37" s="29">
        <v>56661066</v>
      </c>
      <c r="AH37" s="30">
        <v>80597141</v>
      </c>
      <c r="AI37" s="29">
        <v>12069698</v>
      </c>
      <c r="AJ37" s="29">
        <v>33837796</v>
      </c>
      <c r="AK37" s="29">
        <v>57502144</v>
      </c>
      <c r="AL37" s="30">
        <v>111870261</v>
      </c>
    </row>
    <row r="38" spans="1:38" x14ac:dyDescent="0.2">
      <c r="A38" s="26" t="s">
        <v>63</v>
      </c>
      <c r="B38" s="10" t="s">
        <v>39</v>
      </c>
      <c r="C38" s="27">
        <v>33494442</v>
      </c>
      <c r="D38" s="27">
        <v>79842837</v>
      </c>
      <c r="E38" s="27">
        <v>121321859</v>
      </c>
      <c r="F38" s="28">
        <v>175409741</v>
      </c>
      <c r="G38" s="27">
        <v>35847669</v>
      </c>
      <c r="H38" s="27">
        <v>84814372</v>
      </c>
      <c r="I38" s="27">
        <v>135287066</v>
      </c>
      <c r="J38" s="28">
        <v>181375050</v>
      </c>
      <c r="K38" s="27">
        <v>38863595</v>
      </c>
      <c r="L38" s="27">
        <v>88843920</v>
      </c>
      <c r="M38" s="27">
        <v>134880969</v>
      </c>
      <c r="N38" s="28">
        <v>185858478</v>
      </c>
      <c r="O38" s="27">
        <v>35361537</v>
      </c>
      <c r="P38" s="27">
        <v>69072819</v>
      </c>
      <c r="Q38" s="27">
        <v>112394749</v>
      </c>
      <c r="R38" s="28">
        <v>153748177</v>
      </c>
      <c r="S38" s="27">
        <v>35924142</v>
      </c>
      <c r="T38" s="27">
        <v>83543466</v>
      </c>
      <c r="U38" s="27">
        <v>163949577</v>
      </c>
      <c r="V38" s="28">
        <v>212238717</v>
      </c>
      <c r="W38" s="27">
        <v>39197558</v>
      </c>
      <c r="X38" s="27">
        <v>89215154</v>
      </c>
      <c r="Y38" s="27">
        <v>140267949</v>
      </c>
      <c r="Z38" s="28">
        <v>202491876</v>
      </c>
      <c r="AA38" s="27">
        <v>43449446</v>
      </c>
      <c r="AB38" s="27">
        <v>97659956</v>
      </c>
      <c r="AC38" s="27">
        <v>177540072</v>
      </c>
      <c r="AD38" s="28">
        <v>247710761</v>
      </c>
      <c r="AE38" s="27">
        <v>47215728</v>
      </c>
      <c r="AF38" s="27">
        <v>109900839</v>
      </c>
      <c r="AG38" s="27">
        <v>184694032</v>
      </c>
      <c r="AH38" s="28">
        <v>260842530</v>
      </c>
      <c r="AI38" s="27">
        <v>47651173</v>
      </c>
      <c r="AJ38" s="27">
        <v>114247957</v>
      </c>
      <c r="AK38" s="27">
        <v>185621821</v>
      </c>
      <c r="AL38" s="28">
        <v>359321637</v>
      </c>
    </row>
    <row r="39" spans="1:38" x14ac:dyDescent="0.2">
      <c r="A39" s="26" t="s">
        <v>64</v>
      </c>
      <c r="B39" s="10" t="s">
        <v>39</v>
      </c>
      <c r="C39" s="27">
        <v>4118987</v>
      </c>
      <c r="D39" s="27">
        <v>8700170</v>
      </c>
      <c r="E39" s="27">
        <v>13222223</v>
      </c>
      <c r="F39" s="28">
        <v>17702277</v>
      </c>
      <c r="G39" s="27">
        <v>4874416</v>
      </c>
      <c r="H39" s="27">
        <v>9642460</v>
      </c>
      <c r="I39" s="27">
        <v>15290377</v>
      </c>
      <c r="J39" s="28">
        <v>21181272</v>
      </c>
      <c r="K39" s="27">
        <v>4643571</v>
      </c>
      <c r="L39" s="27">
        <v>10420996</v>
      </c>
      <c r="M39" s="27">
        <v>15958732</v>
      </c>
      <c r="N39" s="28">
        <v>22251281</v>
      </c>
      <c r="O39" s="27">
        <v>4806559</v>
      </c>
      <c r="P39" s="27">
        <v>8838520</v>
      </c>
      <c r="Q39" s="27">
        <v>13931673</v>
      </c>
      <c r="R39" s="28">
        <v>21356613</v>
      </c>
      <c r="S39" s="27">
        <v>5290657</v>
      </c>
      <c r="T39" s="27">
        <v>12751063</v>
      </c>
      <c r="U39" s="27">
        <v>20863341</v>
      </c>
      <c r="V39" s="28">
        <v>30001073</v>
      </c>
      <c r="W39" s="27">
        <v>7564850</v>
      </c>
      <c r="X39" s="27">
        <v>16667331</v>
      </c>
      <c r="Y39" s="27">
        <v>28051296</v>
      </c>
      <c r="Z39" s="28">
        <v>38819417</v>
      </c>
      <c r="AA39" s="27">
        <v>9055920</v>
      </c>
      <c r="AB39" s="27">
        <v>23419761</v>
      </c>
      <c r="AC39" s="27">
        <v>38857721</v>
      </c>
      <c r="AD39" s="28">
        <v>53198222</v>
      </c>
      <c r="AE39" s="27">
        <v>7635329</v>
      </c>
      <c r="AF39" s="27">
        <v>17755693</v>
      </c>
      <c r="AG39" s="27">
        <v>27370336</v>
      </c>
      <c r="AH39" s="28">
        <v>37726572</v>
      </c>
      <c r="AI39" s="27">
        <v>6988552</v>
      </c>
      <c r="AJ39" s="27">
        <v>29461829</v>
      </c>
      <c r="AK39" s="27">
        <v>26085586</v>
      </c>
      <c r="AL39" s="28">
        <v>36157345</v>
      </c>
    </row>
    <row r="40" spans="1:38" x14ac:dyDescent="0.2">
      <c r="A40" s="9" t="s">
        <v>65</v>
      </c>
      <c r="B40" s="10" t="s">
        <v>66</v>
      </c>
      <c r="C40" s="16">
        <v>8.4096895552915427</v>
      </c>
      <c r="D40" s="16">
        <v>7.2955596482057583</v>
      </c>
      <c r="E40" s="16">
        <v>7.1533425007872138</v>
      </c>
      <c r="F40" s="17">
        <v>6.6222786559042639</v>
      </c>
      <c r="G40" s="16">
        <v>9.2680487017521322</v>
      </c>
      <c r="H40" s="16">
        <v>7.7472632501930612</v>
      </c>
      <c r="I40" s="16">
        <v>7.2642763412707829</v>
      </c>
      <c r="J40" s="17">
        <v>7.3041468828505387</v>
      </c>
      <c r="K40" s="16">
        <v>8.7019093626921133</v>
      </c>
      <c r="L40" s="16">
        <v>7.4472462950602809</v>
      </c>
      <c r="M40" s="16">
        <v>7.3013830671649895</v>
      </c>
      <c r="N40" s="17">
        <v>7.1172903931739695</v>
      </c>
      <c r="O40" s="16">
        <v>10.612212022003481</v>
      </c>
      <c r="P40" s="16">
        <v>9.4859767576530807</v>
      </c>
      <c r="Q40" s="16">
        <v>8.9917382931889751</v>
      </c>
      <c r="R40" s="17">
        <v>8.7873137655023612</v>
      </c>
      <c r="S40" s="16">
        <v>11.156169421547828</v>
      </c>
      <c r="T40" s="16">
        <v>9.28596164398426</v>
      </c>
      <c r="U40" s="16">
        <v>7.3378592676830099</v>
      </c>
      <c r="V40" s="17">
        <v>7.464873048944809</v>
      </c>
      <c r="W40" s="16">
        <v>9.6719001778439218</v>
      </c>
      <c r="X40" s="16">
        <v>8.1435299357489566</v>
      </c>
      <c r="Y40" s="16">
        <v>7.8893813660919161</v>
      </c>
      <c r="Z40" s="17">
        <v>7.5286474096906844</v>
      </c>
      <c r="AA40" s="16">
        <v>10.443768061248255</v>
      </c>
      <c r="AB40" s="16">
        <v>8.8629507138819132</v>
      </c>
      <c r="AC40" s="16">
        <v>7.6097668816766078</v>
      </c>
      <c r="AD40" s="17">
        <v>7.5938522471781109</v>
      </c>
      <c r="AE40" s="16">
        <v>10.545386433575018</v>
      </c>
      <c r="AF40" s="16">
        <v>10.133540349754762</v>
      </c>
      <c r="AG40" s="16">
        <v>11.35255275421159</v>
      </c>
      <c r="AH40" s="17">
        <v>12.459550111141507</v>
      </c>
      <c r="AI40" s="16">
        <v>15.472750184181747</v>
      </c>
      <c r="AJ40" s="16">
        <v>12.293167184239076</v>
      </c>
      <c r="AK40" s="16">
        <v>13.048102045488282</v>
      </c>
      <c r="AL40" s="17">
        <v>10.055183885614356</v>
      </c>
    </row>
    <row r="41" spans="1:38" x14ac:dyDescent="0.2">
      <c r="A41" s="18" t="s">
        <v>45</v>
      </c>
      <c r="B41" s="19" t="s">
        <v>66</v>
      </c>
      <c r="C41" s="20">
        <v>60.574049307146609</v>
      </c>
      <c r="D41" s="20">
        <v>67.105317649697284</v>
      </c>
      <c r="E41" s="20">
        <v>70.823988188761405</v>
      </c>
      <c r="F41" s="21">
        <v>73.071249227492373</v>
      </c>
      <c r="G41" s="20">
        <v>104.28684558210514</v>
      </c>
      <c r="H41" s="20">
        <v>78.53921873357487</v>
      </c>
      <c r="I41" s="20">
        <v>73.388688490527329</v>
      </c>
      <c r="J41" s="21">
        <v>75.351687715000963</v>
      </c>
      <c r="K41" s="20">
        <v>75.013702063576289</v>
      </c>
      <c r="L41" s="20">
        <v>76.560036941210541</v>
      </c>
      <c r="M41" s="20">
        <v>77.574648182385531</v>
      </c>
      <c r="N41" s="21">
        <v>78.537797200188322</v>
      </c>
      <c r="O41" s="20">
        <v>90.050000672254967</v>
      </c>
      <c r="P41" s="20">
        <v>84.804664555106868</v>
      </c>
      <c r="Q41" s="20">
        <v>81.65849686476092</v>
      </c>
      <c r="R41" s="21">
        <v>79.984061685702912</v>
      </c>
      <c r="S41" s="20">
        <v>77.178324681188741</v>
      </c>
      <c r="T41" s="20">
        <v>79.904181749700513</v>
      </c>
      <c r="U41" s="20">
        <v>82.275502990385007</v>
      </c>
      <c r="V41" s="21">
        <v>82.714181594482156</v>
      </c>
      <c r="W41" s="20">
        <v>84.729634994334063</v>
      </c>
      <c r="X41" s="20">
        <v>99.110401765562074</v>
      </c>
      <c r="Y41" s="20">
        <v>96.105270584949977</v>
      </c>
      <c r="Z41" s="21">
        <v>98.947343501800816</v>
      </c>
      <c r="AA41" s="20">
        <v>116.03163120647045</v>
      </c>
      <c r="AB41" s="20">
        <v>126.8251714375829</v>
      </c>
      <c r="AC41" s="20">
        <v>125.65629272697248</v>
      </c>
      <c r="AD41" s="21">
        <v>148.45916820814293</v>
      </c>
      <c r="AE41" s="20">
        <v>169.82640469168993</v>
      </c>
      <c r="AF41" s="20">
        <v>197.11479814459415</v>
      </c>
      <c r="AG41" s="20">
        <v>334.96558002558294</v>
      </c>
      <c r="AH41" s="21">
        <v>438.48504579512331</v>
      </c>
      <c r="AI41" s="20">
        <v>287.20899451003078</v>
      </c>
      <c r="AJ41" s="20">
        <v>104.91446941258664</v>
      </c>
      <c r="AK41" s="20">
        <v>529.12427092034955</v>
      </c>
      <c r="AL41" s="21">
        <v>567.83296768860657</v>
      </c>
    </row>
    <row r="42" spans="1:38" x14ac:dyDescent="0.2">
      <c r="A42" s="13" t="s">
        <v>46</v>
      </c>
      <c r="B42" s="6" t="s">
        <v>66</v>
      </c>
      <c r="C42" s="22" t="s">
        <v>47</v>
      </c>
      <c r="D42" s="22" t="s">
        <v>47</v>
      </c>
      <c r="E42" s="22" t="s">
        <v>47</v>
      </c>
      <c r="F42" s="23" t="s">
        <v>47</v>
      </c>
      <c r="G42" s="22" t="s">
        <v>47</v>
      </c>
      <c r="H42" s="22" t="s">
        <v>47</v>
      </c>
      <c r="I42" s="22" t="s">
        <v>47</v>
      </c>
      <c r="J42" s="23" t="s">
        <v>47</v>
      </c>
      <c r="K42" s="22" t="s">
        <v>47</v>
      </c>
      <c r="L42" s="24">
        <v>487.41527695474343</v>
      </c>
      <c r="M42" s="24">
        <v>552.89087891295662</v>
      </c>
      <c r="N42" s="25">
        <v>551.14858927884382</v>
      </c>
      <c r="O42" s="24">
        <v>542.62294802076792</v>
      </c>
      <c r="P42" s="24">
        <v>539.12923993617449</v>
      </c>
      <c r="Q42" s="24">
        <v>413.13881277596613</v>
      </c>
      <c r="R42" s="25">
        <v>526.798259946283</v>
      </c>
      <c r="S42" s="24">
        <v>559.46499743275945</v>
      </c>
      <c r="T42" s="24">
        <v>579.85836580785701</v>
      </c>
      <c r="U42" s="24">
        <v>592.13589979543769</v>
      </c>
      <c r="V42" s="25">
        <v>608.54680876593875</v>
      </c>
      <c r="W42" s="24">
        <v>576.11648965292636</v>
      </c>
      <c r="X42" s="24">
        <v>574.58867678862384</v>
      </c>
      <c r="Y42" s="24">
        <v>641.75257007970947</v>
      </c>
      <c r="Z42" s="25">
        <v>698.64819843550379</v>
      </c>
      <c r="AA42" s="24">
        <v>987.74406159006969</v>
      </c>
      <c r="AB42" s="24">
        <v>1217.3954249277185</v>
      </c>
      <c r="AC42" s="24">
        <v>1441.0188065687041</v>
      </c>
      <c r="AD42" s="25">
        <v>1564.2636136053572</v>
      </c>
      <c r="AE42" s="24">
        <v>2097.9013752893147</v>
      </c>
      <c r="AF42" s="24">
        <v>3927.9297901887148</v>
      </c>
      <c r="AG42" s="24">
        <v>6456.3567728491525</v>
      </c>
      <c r="AH42" s="25">
        <v>6985.0578007226077</v>
      </c>
      <c r="AI42" s="24">
        <v>16852.25692014358</v>
      </c>
      <c r="AJ42" s="24">
        <v>14978.153368823245</v>
      </c>
      <c r="AK42" s="24">
        <v>14955.8652244614</v>
      </c>
      <c r="AL42" s="25">
        <v>15284.025104761131</v>
      </c>
    </row>
    <row r="43" spans="1:38" x14ac:dyDescent="0.2">
      <c r="A43" s="13" t="s">
        <v>48</v>
      </c>
      <c r="B43" s="6" t="s">
        <v>66</v>
      </c>
      <c r="C43" s="22" t="s">
        <v>47</v>
      </c>
      <c r="D43" s="22" t="s">
        <v>47</v>
      </c>
      <c r="E43" s="22" t="s">
        <v>47</v>
      </c>
      <c r="F43" s="23" t="s">
        <v>47</v>
      </c>
      <c r="G43" s="22" t="s">
        <v>47</v>
      </c>
      <c r="H43" s="22" t="s">
        <v>47</v>
      </c>
      <c r="I43" s="22" t="s">
        <v>47</v>
      </c>
      <c r="J43" s="23" t="s">
        <v>47</v>
      </c>
      <c r="K43" s="22" t="s">
        <v>47</v>
      </c>
      <c r="L43" s="22" t="s">
        <v>47</v>
      </c>
      <c r="M43" s="22" t="s">
        <v>47</v>
      </c>
      <c r="N43" s="23" t="s">
        <v>47</v>
      </c>
      <c r="O43" s="22" t="s">
        <v>47</v>
      </c>
      <c r="P43" s="22" t="s">
        <v>47</v>
      </c>
      <c r="Q43" s="22" t="s">
        <v>47</v>
      </c>
      <c r="R43" s="23" t="s">
        <v>47</v>
      </c>
      <c r="S43" s="22" t="s">
        <v>47</v>
      </c>
      <c r="T43" s="22" t="s">
        <v>47</v>
      </c>
      <c r="U43" s="22" t="s">
        <v>47</v>
      </c>
      <c r="V43" s="25">
        <v>27.574712212193315</v>
      </c>
      <c r="W43" s="24">
        <v>24.90551494844258</v>
      </c>
      <c r="X43" s="24">
        <v>25.899772709886804</v>
      </c>
      <c r="Y43" s="24">
        <v>28.985147080427623</v>
      </c>
      <c r="Z43" s="25">
        <v>32.560402438469715</v>
      </c>
      <c r="AA43" s="24">
        <v>51.347791910801398</v>
      </c>
      <c r="AB43" s="24">
        <v>55.554354328235853</v>
      </c>
      <c r="AC43" s="24">
        <v>52.859430758523196</v>
      </c>
      <c r="AD43" s="25">
        <v>52.808664354178632</v>
      </c>
      <c r="AE43" s="24">
        <v>31.773947847639512</v>
      </c>
      <c r="AF43" s="24">
        <v>28.53941166266759</v>
      </c>
      <c r="AG43" s="24">
        <v>26.769638307125568</v>
      </c>
      <c r="AH43" s="25">
        <v>25.653695983224619</v>
      </c>
      <c r="AI43" s="24">
        <v>8.345016962336155</v>
      </c>
      <c r="AJ43" s="24">
        <v>3.1382877410522023</v>
      </c>
      <c r="AK43" s="24">
        <v>31.667519031447952</v>
      </c>
      <c r="AL43" s="25">
        <v>37.168370435328093</v>
      </c>
    </row>
    <row r="44" spans="1:38" x14ac:dyDescent="0.2">
      <c r="A44" s="13" t="s">
        <v>49</v>
      </c>
      <c r="B44" s="6" t="s">
        <v>66</v>
      </c>
      <c r="C44" s="22" t="s">
        <v>47</v>
      </c>
      <c r="D44" s="22" t="s">
        <v>47</v>
      </c>
      <c r="E44" s="22" t="s">
        <v>47</v>
      </c>
      <c r="F44" s="23" t="s">
        <v>47</v>
      </c>
      <c r="G44" s="22" t="s">
        <v>47</v>
      </c>
      <c r="H44" s="22" t="s">
        <v>47</v>
      </c>
      <c r="I44" s="22" t="s">
        <v>47</v>
      </c>
      <c r="J44" s="23" t="s">
        <v>47</v>
      </c>
      <c r="K44" s="22" t="s">
        <v>47</v>
      </c>
      <c r="L44" s="22" t="s">
        <v>47</v>
      </c>
      <c r="M44" s="22" t="s">
        <v>47</v>
      </c>
      <c r="N44" s="23" t="s">
        <v>47</v>
      </c>
      <c r="O44" s="22" t="s">
        <v>47</v>
      </c>
      <c r="P44" s="22" t="s">
        <v>47</v>
      </c>
      <c r="Q44" s="22" t="s">
        <v>47</v>
      </c>
      <c r="R44" s="23" t="s">
        <v>47</v>
      </c>
      <c r="S44" s="22" t="s">
        <v>47</v>
      </c>
      <c r="T44" s="22" t="s">
        <v>47</v>
      </c>
      <c r="U44" s="22" t="s">
        <v>47</v>
      </c>
      <c r="V44" s="25">
        <v>326.74810510047536</v>
      </c>
      <c r="W44" s="24">
        <v>485.28170959515882</v>
      </c>
      <c r="X44" s="24">
        <v>502.12035391444613</v>
      </c>
      <c r="Y44" s="24">
        <v>470.45780084105394</v>
      </c>
      <c r="Z44" s="25">
        <v>487.03265601593097</v>
      </c>
      <c r="AA44" s="24">
        <v>329.44058263484413</v>
      </c>
      <c r="AB44" s="24">
        <v>361.02259460614567</v>
      </c>
      <c r="AC44" s="24">
        <v>328.39731981388201</v>
      </c>
      <c r="AD44" s="25">
        <v>360.64625815046287</v>
      </c>
      <c r="AE44" s="24">
        <v>280.35508497349747</v>
      </c>
      <c r="AF44" s="24">
        <v>369.05061417161471</v>
      </c>
      <c r="AG44" s="24">
        <v>852.49998990484278</v>
      </c>
      <c r="AH44" s="25">
        <v>1015.9814604718531</v>
      </c>
      <c r="AI44" s="24">
        <v>965.93858385045701</v>
      </c>
      <c r="AJ44" s="24">
        <v>386.11861516151077</v>
      </c>
      <c r="AK44" s="24">
        <v>738.72020929815471</v>
      </c>
      <c r="AL44" s="25">
        <v>830.42319747739566</v>
      </c>
    </row>
    <row r="45" spans="1:38" x14ac:dyDescent="0.2">
      <c r="A45" s="13" t="s">
        <v>50</v>
      </c>
      <c r="B45" s="6" t="s">
        <v>66</v>
      </c>
      <c r="C45" s="22" t="s">
        <v>47</v>
      </c>
      <c r="D45" s="22" t="s">
        <v>47</v>
      </c>
      <c r="E45" s="22" t="s">
        <v>47</v>
      </c>
      <c r="F45" s="23" t="s">
        <v>47</v>
      </c>
      <c r="G45" s="22" t="s">
        <v>47</v>
      </c>
      <c r="H45" s="22" t="s">
        <v>47</v>
      </c>
      <c r="I45" s="22" t="s">
        <v>47</v>
      </c>
      <c r="J45" s="23" t="s">
        <v>47</v>
      </c>
      <c r="K45" s="22" t="s">
        <v>47</v>
      </c>
      <c r="L45" s="22" t="s">
        <v>47</v>
      </c>
      <c r="M45" s="22" t="s">
        <v>47</v>
      </c>
      <c r="N45" s="23" t="s">
        <v>47</v>
      </c>
      <c r="O45" s="22" t="s">
        <v>47</v>
      </c>
      <c r="P45" s="22" t="s">
        <v>47</v>
      </c>
      <c r="Q45" s="22" t="s">
        <v>47</v>
      </c>
      <c r="R45" s="23" t="s">
        <v>47</v>
      </c>
      <c r="S45" s="22" t="s">
        <v>47</v>
      </c>
      <c r="T45" s="22" t="s">
        <v>47</v>
      </c>
      <c r="U45" s="22" t="s">
        <v>47</v>
      </c>
      <c r="V45" s="25">
        <v>16.406276989237028</v>
      </c>
      <c r="W45" s="24">
        <v>23.724668021785334</v>
      </c>
      <c r="X45" s="24">
        <v>21.793112250024823</v>
      </c>
      <c r="Y45" s="24">
        <v>20.650496815372957</v>
      </c>
      <c r="Z45" s="25">
        <v>20.544177105899511</v>
      </c>
      <c r="AA45" s="24">
        <v>10.14539853820447</v>
      </c>
      <c r="AB45" s="24">
        <v>10.125801061774483</v>
      </c>
      <c r="AC45" s="24">
        <v>10.569796315904354</v>
      </c>
      <c r="AD45" s="25">
        <v>27.315747380325561</v>
      </c>
      <c r="AE45" s="24">
        <v>28.423769711409197</v>
      </c>
      <c r="AF45" s="24">
        <v>29.35381987475558</v>
      </c>
      <c r="AG45" s="24">
        <v>31.918535837705491</v>
      </c>
      <c r="AH45" s="25">
        <v>30.43534551779527</v>
      </c>
      <c r="AI45" s="24">
        <v>13.626013763831624</v>
      </c>
      <c r="AJ45" s="24">
        <v>16.144959436229552</v>
      </c>
      <c r="AK45" s="24">
        <v>20.236509723288453</v>
      </c>
      <c r="AL45" s="25">
        <v>7.7458252718879894</v>
      </c>
    </row>
    <row r="46" spans="1:38" x14ac:dyDescent="0.2">
      <c r="A46" s="13" t="s">
        <v>51</v>
      </c>
      <c r="B46" s="6" t="s">
        <v>66</v>
      </c>
      <c r="C46" s="22" t="s">
        <v>47</v>
      </c>
      <c r="D46" s="22" t="s">
        <v>47</v>
      </c>
      <c r="E46" s="22" t="s">
        <v>47</v>
      </c>
      <c r="F46" s="23" t="s">
        <v>47</v>
      </c>
      <c r="G46" s="22" t="s">
        <v>47</v>
      </c>
      <c r="H46" s="22" t="s">
        <v>47</v>
      </c>
      <c r="I46" s="22" t="s">
        <v>47</v>
      </c>
      <c r="J46" s="23" t="s">
        <v>47</v>
      </c>
      <c r="K46" s="22" t="s">
        <v>47</v>
      </c>
      <c r="L46" s="22" t="s">
        <v>47</v>
      </c>
      <c r="M46" s="22" t="s">
        <v>47</v>
      </c>
      <c r="N46" s="23" t="s">
        <v>47</v>
      </c>
      <c r="O46" s="22" t="s">
        <v>47</v>
      </c>
      <c r="P46" s="22" t="s">
        <v>47</v>
      </c>
      <c r="Q46" s="22" t="s">
        <v>47</v>
      </c>
      <c r="R46" s="23" t="s">
        <v>47</v>
      </c>
      <c r="S46" s="22" t="s">
        <v>47</v>
      </c>
      <c r="T46" s="22" t="s">
        <v>47</v>
      </c>
      <c r="U46" s="22" t="s">
        <v>47</v>
      </c>
      <c r="V46" s="25">
        <v>43.925135548881705</v>
      </c>
      <c r="W46" s="24">
        <v>53.524361504027738</v>
      </c>
      <c r="X46" s="24">
        <v>53.775927316359969</v>
      </c>
      <c r="Y46" s="24">
        <v>54.24135939677145</v>
      </c>
      <c r="Z46" s="25">
        <v>53.965578441807132</v>
      </c>
      <c r="AA46" s="24">
        <v>63.179436234465612</v>
      </c>
      <c r="AB46" s="24">
        <v>65.723017978167519</v>
      </c>
      <c r="AC46" s="24">
        <v>66.509489950194066</v>
      </c>
      <c r="AD46" s="25">
        <v>66.554392582378753</v>
      </c>
      <c r="AE46" s="24">
        <v>78.679163932682812</v>
      </c>
      <c r="AF46" s="24">
        <v>81.284653844250144</v>
      </c>
      <c r="AG46" s="24">
        <v>81.28564932937428</v>
      </c>
      <c r="AH46" s="25">
        <v>80.845218982758624</v>
      </c>
      <c r="AI46" s="24">
        <v>132.51404898812888</v>
      </c>
      <c r="AJ46" s="24">
        <v>93.277696050135873</v>
      </c>
      <c r="AK46" s="24">
        <v>94.322443566325063</v>
      </c>
      <c r="AL46" s="25">
        <v>61.106194181314585</v>
      </c>
    </row>
    <row r="47" spans="1:38" x14ac:dyDescent="0.2">
      <c r="A47" s="13" t="s">
        <v>52</v>
      </c>
      <c r="B47" s="6" t="s">
        <v>66</v>
      </c>
      <c r="C47" s="24">
        <v>331.30200000000002</v>
      </c>
      <c r="D47" s="24">
        <v>358.11088189788552</v>
      </c>
      <c r="E47" s="24">
        <v>368.87599134823358</v>
      </c>
      <c r="F47" s="25">
        <v>384.20347129506007</v>
      </c>
      <c r="G47" s="24">
        <v>487.71998510578283</v>
      </c>
      <c r="H47" s="24">
        <v>250.24230366416978</v>
      </c>
      <c r="I47" s="24">
        <v>280.48078126770707</v>
      </c>
      <c r="J47" s="25">
        <v>224.39588755287011</v>
      </c>
      <c r="K47" s="24">
        <v>410.9528126167076</v>
      </c>
      <c r="L47" s="24">
        <v>328.44076147086918</v>
      </c>
      <c r="M47" s="24">
        <v>487.82311502433441</v>
      </c>
      <c r="N47" s="25">
        <v>331.34636944113964</v>
      </c>
      <c r="O47" s="24">
        <v>232.41270406819518</v>
      </c>
      <c r="P47" s="24">
        <v>264.82294386097726</v>
      </c>
      <c r="Q47" s="24">
        <v>267.3741088867439</v>
      </c>
      <c r="R47" s="25">
        <v>337.97526191058125</v>
      </c>
      <c r="S47" s="24">
        <v>261.81827156994501</v>
      </c>
      <c r="T47" s="24">
        <v>250.98931015685113</v>
      </c>
      <c r="U47" s="24">
        <v>319.37790928899079</v>
      </c>
      <c r="V47" s="25">
        <v>276.57289538932076</v>
      </c>
      <c r="W47" s="24">
        <v>205.59327816335741</v>
      </c>
      <c r="X47" s="24">
        <v>189.52540138755978</v>
      </c>
      <c r="Y47" s="24">
        <v>178.80225085416006</v>
      </c>
      <c r="Z47" s="25">
        <v>186.66328122096635</v>
      </c>
      <c r="AA47" s="24">
        <v>155.30815352657007</v>
      </c>
      <c r="AB47" s="24">
        <v>310.7180177331295</v>
      </c>
      <c r="AC47" s="24">
        <v>257.90746665439093</v>
      </c>
      <c r="AD47" s="25">
        <v>229.34250822138802</v>
      </c>
      <c r="AE47" s="24">
        <v>190.91686700680273</v>
      </c>
      <c r="AF47" s="24">
        <v>300.98722912408761</v>
      </c>
      <c r="AG47" s="24">
        <v>241.51068430219979</v>
      </c>
      <c r="AH47" s="25">
        <v>202.46277014716409</v>
      </c>
      <c r="AI47" s="24">
        <v>186.51660049243756</v>
      </c>
      <c r="AJ47" s="24">
        <v>183.2884913784585</v>
      </c>
      <c r="AK47" s="24">
        <v>412.70638815461609</v>
      </c>
      <c r="AL47" s="25">
        <v>550.30420243245192</v>
      </c>
    </row>
    <row r="48" spans="1:38" x14ac:dyDescent="0.2">
      <c r="A48" s="18" t="s">
        <v>53</v>
      </c>
      <c r="B48" s="19" t="s">
        <v>66</v>
      </c>
      <c r="C48" s="20">
        <v>2.1746363801419726</v>
      </c>
      <c r="D48" s="20">
        <v>2.1491720412848121</v>
      </c>
      <c r="E48" s="20">
        <v>2.1709406546498182</v>
      </c>
      <c r="F48" s="21">
        <v>2.0345475954742938</v>
      </c>
      <c r="G48" s="20">
        <v>2.7523690771008673</v>
      </c>
      <c r="H48" s="20">
        <v>2.717609126031328</v>
      </c>
      <c r="I48" s="20">
        <v>2.6471758941717063</v>
      </c>
      <c r="J48" s="21">
        <v>2.9413603687802525</v>
      </c>
      <c r="K48" s="20">
        <v>3.639773938366039</v>
      </c>
      <c r="L48" s="20">
        <v>3.3675938845889566</v>
      </c>
      <c r="M48" s="20">
        <v>3.4203027574842881</v>
      </c>
      <c r="N48" s="21">
        <v>3.3968887129618457</v>
      </c>
      <c r="O48" s="20">
        <v>5.2144054302661402</v>
      </c>
      <c r="P48" s="20">
        <v>5.2245054734384446</v>
      </c>
      <c r="Q48" s="20">
        <v>5.1419035640312396</v>
      </c>
      <c r="R48" s="21">
        <v>5.0720992038337984</v>
      </c>
      <c r="S48" s="20">
        <v>6.3250471970991473</v>
      </c>
      <c r="T48" s="20">
        <v>5.5999551729509696</v>
      </c>
      <c r="U48" s="20">
        <v>4.0007463451939351</v>
      </c>
      <c r="V48" s="21">
        <v>4.0489995131160583</v>
      </c>
      <c r="W48" s="20">
        <v>3.8621744829637703</v>
      </c>
      <c r="X48" s="20">
        <v>3.1675702493460673</v>
      </c>
      <c r="Y48" s="20">
        <v>3.4266961312311452</v>
      </c>
      <c r="Z48" s="21">
        <v>3.4679960136044721</v>
      </c>
      <c r="AA48" s="20">
        <v>4.5184002026494916</v>
      </c>
      <c r="AB48" s="20">
        <v>3.415033117416904</v>
      </c>
      <c r="AC48" s="20">
        <v>2.5419611328555392</v>
      </c>
      <c r="AD48" s="21">
        <v>2.2908326478370906</v>
      </c>
      <c r="AE48" s="20">
        <v>2.9080219141701082</v>
      </c>
      <c r="AF48" s="20">
        <v>2.52870439244631</v>
      </c>
      <c r="AG48" s="20">
        <v>2.3211709002040872</v>
      </c>
      <c r="AH48" s="21">
        <v>2.1352889868404836</v>
      </c>
      <c r="AI48" s="20">
        <v>2.6839680845573186</v>
      </c>
      <c r="AJ48" s="20">
        <v>1.9810474149412369</v>
      </c>
      <c r="AK48" s="20">
        <v>2.2303058467913512</v>
      </c>
      <c r="AL48" s="21">
        <v>1.5153119689728043</v>
      </c>
    </row>
    <row r="49" spans="1:38" x14ac:dyDescent="0.2">
      <c r="A49" s="18" t="s">
        <v>54</v>
      </c>
      <c r="B49" s="19" t="s">
        <v>66</v>
      </c>
      <c r="C49" s="20">
        <v>30.896612699806447</v>
      </c>
      <c r="D49" s="20">
        <v>14.580139052706411</v>
      </c>
      <c r="E49" s="20">
        <v>13.150179288974496</v>
      </c>
      <c r="F49" s="21">
        <v>12.628201845290404</v>
      </c>
      <c r="G49" s="20">
        <v>31.081270742435862</v>
      </c>
      <c r="H49" s="20">
        <v>14.606956811397518</v>
      </c>
      <c r="I49" s="20">
        <v>13.059852952167912</v>
      </c>
      <c r="J49" s="21">
        <v>12.327050273660515</v>
      </c>
      <c r="K49" s="20">
        <v>24.320920196005318</v>
      </c>
      <c r="L49" s="20">
        <v>12.283369272532621</v>
      </c>
      <c r="M49" s="20">
        <v>10.762724664004358</v>
      </c>
      <c r="N49" s="21">
        <v>10.605639486072491</v>
      </c>
      <c r="O49" s="20">
        <v>26.640813825955394</v>
      </c>
      <c r="P49" s="20">
        <v>18.707494308463101</v>
      </c>
      <c r="Q49" s="20">
        <v>17.864793120003885</v>
      </c>
      <c r="R49" s="21">
        <v>16.492514298804416</v>
      </c>
      <c r="S49" s="20">
        <v>40.046114053718377</v>
      </c>
      <c r="T49" s="20">
        <v>18.635872841566659</v>
      </c>
      <c r="U49" s="20">
        <v>16.509164036304433</v>
      </c>
      <c r="V49" s="21">
        <v>15.841814875870627</v>
      </c>
      <c r="W49" s="20">
        <v>33.475081185609348</v>
      </c>
      <c r="X49" s="20">
        <v>19.660731783570188</v>
      </c>
      <c r="Y49" s="20">
        <v>17.482101205739628</v>
      </c>
      <c r="Z49" s="21">
        <v>16.419887741230781</v>
      </c>
      <c r="AA49" s="20">
        <v>32.403193889271527</v>
      </c>
      <c r="AB49" s="20">
        <v>16.9771821995332</v>
      </c>
      <c r="AC49" s="20">
        <v>17.219548145223843</v>
      </c>
      <c r="AD49" s="21">
        <v>18.289793337952105</v>
      </c>
      <c r="AE49" s="20">
        <v>22.533440304278471</v>
      </c>
      <c r="AF49" s="20">
        <v>19.322057815473286</v>
      </c>
      <c r="AG49" s="20">
        <v>19.96821441350183</v>
      </c>
      <c r="AH49" s="21">
        <v>21.251488320262069</v>
      </c>
      <c r="AI49" s="20">
        <v>26.533929242156059</v>
      </c>
      <c r="AJ49" s="20">
        <v>19.97810142516472</v>
      </c>
      <c r="AK49" s="20">
        <v>20.788626875289861</v>
      </c>
      <c r="AL49" s="21">
        <v>22.034000237708661</v>
      </c>
    </row>
    <row r="50" spans="1:38" x14ac:dyDescent="0.2">
      <c r="A50" s="18" t="s">
        <v>55</v>
      </c>
      <c r="B50" s="19" t="s">
        <v>66</v>
      </c>
      <c r="C50" s="20">
        <v>47.544500131959573</v>
      </c>
      <c r="D50" s="20">
        <v>44.396327574547414</v>
      </c>
      <c r="E50" s="20">
        <v>42.53721487708453</v>
      </c>
      <c r="F50" s="21">
        <v>41.318157858804163</v>
      </c>
      <c r="G50" s="20">
        <v>39.605756728165687</v>
      </c>
      <c r="H50" s="20">
        <v>36.841900500145044</v>
      </c>
      <c r="I50" s="20">
        <v>35.431314594863153</v>
      </c>
      <c r="J50" s="21">
        <v>35.654502571696632</v>
      </c>
      <c r="K50" s="20">
        <v>37.78684963213707</v>
      </c>
      <c r="L50" s="20">
        <v>35.103823658912965</v>
      </c>
      <c r="M50" s="20">
        <v>35.597201252302348</v>
      </c>
      <c r="N50" s="21">
        <v>34.56506633455092</v>
      </c>
      <c r="O50" s="20">
        <v>36.807617672406856</v>
      </c>
      <c r="P50" s="20">
        <v>31.007125598584452</v>
      </c>
      <c r="Q50" s="20">
        <v>29.354408720257766</v>
      </c>
      <c r="R50" s="21">
        <v>33.448092568669281</v>
      </c>
      <c r="S50" s="20">
        <v>38.458538609964734</v>
      </c>
      <c r="T50" s="20">
        <v>36.653777398832517</v>
      </c>
      <c r="U50" s="20">
        <v>36.076658671942205</v>
      </c>
      <c r="V50" s="21">
        <v>38.156744316487462</v>
      </c>
      <c r="W50" s="20">
        <v>41.507782020734687</v>
      </c>
      <c r="X50" s="20">
        <v>40.969023575805657</v>
      </c>
      <c r="Y50" s="20">
        <v>39.675811516499216</v>
      </c>
      <c r="Z50" s="21">
        <v>36.836791383855349</v>
      </c>
      <c r="AA50" s="20">
        <v>32.78245321874946</v>
      </c>
      <c r="AB50" s="20">
        <v>31.717231968174829</v>
      </c>
      <c r="AC50" s="20">
        <v>31.335771978872067</v>
      </c>
      <c r="AD50" s="21">
        <v>30.432882489245436</v>
      </c>
      <c r="AE50" s="20">
        <v>30.957077395260786</v>
      </c>
      <c r="AF50" s="20">
        <v>30.186725266482522</v>
      </c>
      <c r="AG50" s="20">
        <v>31.48725697970826</v>
      </c>
      <c r="AH50" s="21">
        <v>30.548695211582078</v>
      </c>
      <c r="AI50" s="20">
        <v>33.158904669638012</v>
      </c>
      <c r="AJ50" s="20">
        <v>32.708848647218616</v>
      </c>
      <c r="AK50" s="20">
        <v>32.385269996902686</v>
      </c>
      <c r="AL50" s="21">
        <v>31.697283906054846</v>
      </c>
    </row>
    <row r="51" spans="1:38" x14ac:dyDescent="0.2">
      <c r="A51" s="18" t="s">
        <v>56</v>
      </c>
      <c r="B51" s="19" t="s">
        <v>66</v>
      </c>
      <c r="C51" s="20">
        <v>296.49567039749434</v>
      </c>
      <c r="D51" s="20">
        <v>265.99451772213644</v>
      </c>
      <c r="E51" s="20">
        <v>268.40559539203008</v>
      </c>
      <c r="F51" s="21">
        <v>226.61934239447359</v>
      </c>
      <c r="G51" s="20">
        <v>348.2604543434087</v>
      </c>
      <c r="H51" s="20">
        <v>235.61784829297201</v>
      </c>
      <c r="I51" s="20">
        <v>215.92213827303334</v>
      </c>
      <c r="J51" s="21">
        <v>121.31396820404628</v>
      </c>
      <c r="K51" s="20">
        <v>303.95357624399401</v>
      </c>
      <c r="L51" s="20">
        <v>286.52753871314525</v>
      </c>
      <c r="M51" s="20">
        <v>270.91820363921323</v>
      </c>
      <c r="N51" s="21">
        <v>234.50629063933997</v>
      </c>
      <c r="O51" s="20">
        <v>500.03872066526606</v>
      </c>
      <c r="P51" s="20">
        <v>388.0097577977578</v>
      </c>
      <c r="Q51" s="20">
        <v>342.81267378275908</v>
      </c>
      <c r="R51" s="21">
        <v>276.22618144416151</v>
      </c>
      <c r="S51" s="20">
        <v>336.05949757449326</v>
      </c>
      <c r="T51" s="20">
        <v>271.88528413594264</v>
      </c>
      <c r="U51" s="20">
        <v>264.44087192164193</v>
      </c>
      <c r="V51" s="21">
        <v>219.31954107585548</v>
      </c>
      <c r="W51" s="20">
        <v>268.16590651390754</v>
      </c>
      <c r="X51" s="20">
        <v>179.93831911887892</v>
      </c>
      <c r="Y51" s="20">
        <v>154.71001956752949</v>
      </c>
      <c r="Z51" s="21">
        <v>142.28572407529401</v>
      </c>
      <c r="AA51" s="20">
        <v>162.28941162563748</v>
      </c>
      <c r="AB51" s="20">
        <v>143.54540712911859</v>
      </c>
      <c r="AC51" s="20">
        <v>137.91995617761052</v>
      </c>
      <c r="AD51" s="21">
        <v>127.78607000435036</v>
      </c>
      <c r="AE51" s="20">
        <v>156.77216158542322</v>
      </c>
      <c r="AF51" s="20">
        <v>143.63072945178234</v>
      </c>
      <c r="AG51" s="20">
        <v>104.69942471712946</v>
      </c>
      <c r="AH51" s="21">
        <v>97.28764387543103</v>
      </c>
      <c r="AI51" s="20">
        <v>110.54642172940866</v>
      </c>
      <c r="AJ51" s="20">
        <v>107.37801482929802</v>
      </c>
      <c r="AK51" s="20">
        <v>100.00979956455375</v>
      </c>
      <c r="AL51" s="21">
        <v>94.527742578810873</v>
      </c>
    </row>
    <row r="52" spans="1:38" x14ac:dyDescent="0.2">
      <c r="A52" s="18" t="s">
        <v>57</v>
      </c>
      <c r="B52" s="19" t="s">
        <v>66</v>
      </c>
      <c r="C52" s="20">
        <v>1.6054212023555841</v>
      </c>
      <c r="D52" s="20">
        <v>1.572374914012777</v>
      </c>
      <c r="E52" s="20">
        <v>1.5578150112718501</v>
      </c>
      <c r="F52" s="21">
        <v>1.4989829745835297</v>
      </c>
      <c r="G52" s="20">
        <v>1.4731778488686826</v>
      </c>
      <c r="H52" s="20">
        <v>1.4229028938131609</v>
      </c>
      <c r="I52" s="20">
        <v>1.3822712553885925</v>
      </c>
      <c r="J52" s="21">
        <v>1.4193526614517276</v>
      </c>
      <c r="K52" s="20">
        <v>1.3089826713124222</v>
      </c>
      <c r="L52" s="20">
        <v>1.3600633230731771</v>
      </c>
      <c r="M52" s="20">
        <v>1.4308160702767496</v>
      </c>
      <c r="N52" s="21">
        <v>1.4736678377086969</v>
      </c>
      <c r="O52" s="20">
        <v>1.6739115097235557</v>
      </c>
      <c r="P52" s="20">
        <v>1.6144180849760745</v>
      </c>
      <c r="Q52" s="20">
        <v>1.6211688051703017</v>
      </c>
      <c r="R52" s="21">
        <v>1.657810778412431</v>
      </c>
      <c r="S52" s="20">
        <v>1.7779189873222205</v>
      </c>
      <c r="T52" s="20">
        <v>1.7423573253744673</v>
      </c>
      <c r="U52" s="20">
        <v>1.3724657579195632</v>
      </c>
      <c r="V52" s="21">
        <v>1.47786001841241</v>
      </c>
      <c r="W52" s="20">
        <v>1.8246578767887527</v>
      </c>
      <c r="X52" s="20">
        <v>1.7244738667607542</v>
      </c>
      <c r="Y52" s="20">
        <v>1.7254291980719789</v>
      </c>
      <c r="Z52" s="21">
        <v>1.6527565321986886</v>
      </c>
      <c r="AA52" s="20">
        <v>2.6125911195117877</v>
      </c>
      <c r="AB52" s="20">
        <v>2.2275116982346201</v>
      </c>
      <c r="AC52" s="20">
        <v>1.9523568630321992</v>
      </c>
      <c r="AD52" s="21">
        <v>1.9079418264431534</v>
      </c>
      <c r="AE52" s="20">
        <v>2.1571113653993468</v>
      </c>
      <c r="AF52" s="20">
        <v>2.1824932799240337</v>
      </c>
      <c r="AG52" s="20">
        <v>2.0432383963638476</v>
      </c>
      <c r="AH52" s="21">
        <v>2.0182565821943559</v>
      </c>
      <c r="AI52" s="20">
        <v>3.0330687952601694</v>
      </c>
      <c r="AJ52" s="20">
        <v>2.3818144028167509</v>
      </c>
      <c r="AK52" s="20">
        <v>2.4209260772429921</v>
      </c>
      <c r="AL52" s="21">
        <v>1.4550062908285681</v>
      </c>
    </row>
    <row r="53" spans="1:38" x14ac:dyDescent="0.2">
      <c r="A53" s="18" t="s">
        <v>58</v>
      </c>
      <c r="B53" s="19" t="s">
        <v>66</v>
      </c>
      <c r="C53" s="20">
        <v>6.0070006223937726</v>
      </c>
      <c r="D53" s="20">
        <v>5.4569421218230065</v>
      </c>
      <c r="E53" s="20">
        <v>5.8485696879249609</v>
      </c>
      <c r="F53" s="21">
        <v>5.8189861642767156</v>
      </c>
      <c r="G53" s="20">
        <v>5.8041505397740165</v>
      </c>
      <c r="H53" s="20">
        <v>5.6509103957757816</v>
      </c>
      <c r="I53" s="20">
        <v>5.6772201239488727</v>
      </c>
      <c r="J53" s="21">
        <v>5.6911894393573057</v>
      </c>
      <c r="K53" s="20">
        <v>5.5762692753417378</v>
      </c>
      <c r="L53" s="20">
        <v>5.3647916662607411</v>
      </c>
      <c r="M53" s="20">
        <v>5.3956531484188233</v>
      </c>
      <c r="N53" s="21">
        <v>5.4155204001963853</v>
      </c>
      <c r="O53" s="20">
        <v>5.5884088355574724</v>
      </c>
      <c r="P53" s="20">
        <v>5.4406918573113705</v>
      </c>
      <c r="Q53" s="20">
        <v>5.4693046771452227</v>
      </c>
      <c r="R53" s="21">
        <v>5.5477548289702296</v>
      </c>
      <c r="S53" s="20">
        <v>5.7505526489102357</v>
      </c>
      <c r="T53" s="20">
        <v>5.5514228808963209</v>
      </c>
      <c r="U53" s="20">
        <v>5.5763277525140564</v>
      </c>
      <c r="V53" s="21">
        <v>5.6494657157121448</v>
      </c>
      <c r="W53" s="20">
        <v>6.1166218041458293</v>
      </c>
      <c r="X53" s="20">
        <v>6.2357683788337086</v>
      </c>
      <c r="Y53" s="20">
        <v>6.4772283649300784</v>
      </c>
      <c r="Z53" s="21">
        <v>6.805257027881999</v>
      </c>
      <c r="AA53" s="20">
        <v>8.1056658325995521</v>
      </c>
      <c r="AB53" s="20">
        <v>7.7638605533668601</v>
      </c>
      <c r="AC53" s="20">
        <v>7.7470708397046648</v>
      </c>
      <c r="AD53" s="21">
        <v>7.8521472099095968</v>
      </c>
      <c r="AE53" s="20">
        <v>8.2788137955047905</v>
      </c>
      <c r="AF53" s="20">
        <v>7.7414051159080524</v>
      </c>
      <c r="AG53" s="20">
        <v>7.6139727455146708</v>
      </c>
      <c r="AH53" s="21">
        <v>7.4582804064095409</v>
      </c>
      <c r="AI53" s="20">
        <v>7.3522587880002721</v>
      </c>
      <c r="AJ53" s="20">
        <v>7.002329370674552</v>
      </c>
      <c r="AK53" s="20">
        <v>6.458851069736423</v>
      </c>
      <c r="AL53" s="21">
        <v>6.0673911749738254</v>
      </c>
    </row>
    <row r="54" spans="1:38" x14ac:dyDescent="0.2">
      <c r="A54" s="18" t="s">
        <v>59</v>
      </c>
      <c r="B54" s="19" t="s">
        <v>66</v>
      </c>
      <c r="C54" s="20">
        <v>5.8096761781438238</v>
      </c>
      <c r="D54" s="20">
        <v>5.4387993830952794</v>
      </c>
      <c r="E54" s="20">
        <v>4.95201969192689</v>
      </c>
      <c r="F54" s="20">
        <v>3.9940506823078969</v>
      </c>
      <c r="G54" s="20">
        <v>6.3547456192996021</v>
      </c>
      <c r="H54" s="20">
        <v>4.6882886718424031</v>
      </c>
      <c r="I54" s="20">
        <v>4.2537465488432806</v>
      </c>
      <c r="J54" s="20">
        <v>4.4095640936677052</v>
      </c>
      <c r="K54" s="20">
        <v>6.0248420067940849</v>
      </c>
      <c r="L54" s="20">
        <v>4.9539578394060406</v>
      </c>
      <c r="M54" s="20">
        <v>4.4360068159071462</v>
      </c>
      <c r="N54" s="20">
        <v>3.8824226080336817</v>
      </c>
      <c r="O54" s="20">
        <v>6.4281390466606183</v>
      </c>
      <c r="P54" s="20">
        <v>6.318164702949062</v>
      </c>
      <c r="Q54" s="20">
        <v>5.2743455532349532</v>
      </c>
      <c r="R54" s="21">
        <v>4.8630428300775188</v>
      </c>
      <c r="S54" s="20">
        <v>6.654335533677691</v>
      </c>
      <c r="T54" s="20">
        <v>4.798120290587045</v>
      </c>
      <c r="U54" s="20">
        <v>3.2086466381564231</v>
      </c>
      <c r="V54" s="21">
        <v>3.2680311311379957</v>
      </c>
      <c r="W54" s="20">
        <v>4.8930772546283272</v>
      </c>
      <c r="X54" s="20">
        <v>3.4455486857137299</v>
      </c>
      <c r="Y54" s="20">
        <v>3.0190232689782759</v>
      </c>
      <c r="Z54" s="21">
        <v>2.6898971188789131</v>
      </c>
      <c r="AA54" s="20">
        <v>3.8835516385094251</v>
      </c>
      <c r="AB54" s="20">
        <v>3.1249637177663141</v>
      </c>
      <c r="AC54" s="20">
        <v>2.6073396944013005</v>
      </c>
      <c r="AD54" s="21">
        <v>2.5704263411458665</v>
      </c>
      <c r="AE54" s="20">
        <v>4.1201267376642807</v>
      </c>
      <c r="AF54" s="20">
        <v>3.7037310255192217</v>
      </c>
      <c r="AG54" s="20">
        <v>3.3744048633684365</v>
      </c>
      <c r="AH54" s="21">
        <v>3.205555800272117</v>
      </c>
      <c r="AI54" s="20">
        <v>5.0233623273796892</v>
      </c>
      <c r="AJ54" s="20">
        <v>3.7258993329630639</v>
      </c>
      <c r="AK54" s="20">
        <v>3.3837138374546574</v>
      </c>
      <c r="AL54" s="21">
        <v>2.373675328439429</v>
      </c>
    </row>
    <row r="55" spans="1:38" x14ac:dyDescent="0.2">
      <c r="A55" s="26" t="s">
        <v>67</v>
      </c>
      <c r="B55" s="10" t="s">
        <v>66</v>
      </c>
      <c r="C55" s="16">
        <v>4.6757417544080893</v>
      </c>
      <c r="D55" s="16">
        <v>4.4750099373347672</v>
      </c>
      <c r="E55" s="16">
        <v>4.6271019470613286</v>
      </c>
      <c r="F55" s="17">
        <v>4.4480214243061909</v>
      </c>
      <c r="G55" s="16">
        <v>5.2732256365466883</v>
      </c>
      <c r="H55" s="16">
        <v>5.0449046572141096</v>
      </c>
      <c r="I55" s="16">
        <v>5.0126472102178639</v>
      </c>
      <c r="J55" s="17">
        <v>5.2830641666129381</v>
      </c>
      <c r="K55" s="16">
        <v>5.2624641559739906</v>
      </c>
      <c r="L55" s="16">
        <v>4.0284740612488736</v>
      </c>
      <c r="M55" s="16">
        <v>5.1257680945514998</v>
      </c>
      <c r="N55" s="17">
        <v>5.1888796362302614</v>
      </c>
      <c r="O55" s="16">
        <v>6.4276126065532733</v>
      </c>
      <c r="P55" s="16">
        <v>6.2399732968819466</v>
      </c>
      <c r="Q55" s="16">
        <v>6.2809323191869044</v>
      </c>
      <c r="R55" s="17">
        <v>6.4621145428485303</v>
      </c>
      <c r="S55" s="16">
        <v>7.1020475348777996</v>
      </c>
      <c r="T55" s="16">
        <v>6.6230188697406938</v>
      </c>
      <c r="U55" s="16">
        <v>5.3187362018771784</v>
      </c>
      <c r="V55" s="17">
        <v>5.5518346231136988</v>
      </c>
      <c r="W55" s="16">
        <v>5.7482497649825541</v>
      </c>
      <c r="X55" s="16">
        <v>5.4842792611629623</v>
      </c>
      <c r="Y55" s="16">
        <v>5.7232023963059442</v>
      </c>
      <c r="Z55" s="17">
        <v>5.5888016689955009</v>
      </c>
      <c r="AA55" s="16">
        <v>7.2706364924622964</v>
      </c>
      <c r="AB55" s="16">
        <v>6.8246005073892322</v>
      </c>
      <c r="AC55" s="16">
        <v>5.9031123848131584</v>
      </c>
      <c r="AD55" s="17">
        <v>5.8952389969921013</v>
      </c>
      <c r="AE55" s="16">
        <v>7.907558120750144</v>
      </c>
      <c r="AF55" s="16">
        <v>7.8628865636613563</v>
      </c>
      <c r="AG55" s="16">
        <v>9.4713156693327267</v>
      </c>
      <c r="AH55" s="17">
        <v>10.804992700265521</v>
      </c>
      <c r="AI55" s="16">
        <v>13.089795080519215</v>
      </c>
      <c r="AJ55" s="16">
        <v>11.459074600544234</v>
      </c>
      <c r="AK55" s="16">
        <v>11.101496221875067</v>
      </c>
      <c r="AL55" s="17">
        <v>8.4114494839574334</v>
      </c>
    </row>
    <row r="56" spans="1:38" x14ac:dyDescent="0.2">
      <c r="A56" s="26" t="s">
        <v>68</v>
      </c>
      <c r="B56" s="10" t="s">
        <v>66</v>
      </c>
      <c r="C56" s="16">
        <v>38.77310125038025</v>
      </c>
      <c r="D56" s="16">
        <v>33.180190731905242</v>
      </c>
      <c r="E56" s="16">
        <v>30.3395779212013</v>
      </c>
      <c r="F56" s="17">
        <v>28.095742203107545</v>
      </c>
      <c r="G56" s="16">
        <v>38.52040410544771</v>
      </c>
      <c r="H56" s="16">
        <v>31.425969843536819</v>
      </c>
      <c r="I56" s="16">
        <v>27.093552860316652</v>
      </c>
      <c r="J56" s="17">
        <v>24.558935473033916</v>
      </c>
      <c r="K56" s="16">
        <v>37.385596445425293</v>
      </c>
      <c r="L56" s="16">
        <v>26.767874591057321</v>
      </c>
      <c r="M56" s="16">
        <v>25.633705268473712</v>
      </c>
      <c r="N56" s="17">
        <v>23.157225390090574</v>
      </c>
      <c r="O56" s="16">
        <v>41.406807264184216</v>
      </c>
      <c r="P56" s="16">
        <v>34.981980246390798</v>
      </c>
      <c r="Q56" s="16">
        <v>30.871785780465849</v>
      </c>
      <c r="R56" s="17">
        <v>25.46885172328215</v>
      </c>
      <c r="S56" s="16">
        <v>38.656703140626959</v>
      </c>
      <c r="T56" s="16">
        <v>26.707572384202006</v>
      </c>
      <c r="U56" s="16">
        <v>23.132870831700924</v>
      </c>
      <c r="V56" s="17">
        <v>20.998416368215246</v>
      </c>
      <c r="W56" s="16">
        <v>30.002444026017702</v>
      </c>
      <c r="X56" s="16">
        <v>22.377690069593626</v>
      </c>
      <c r="Y56" s="16">
        <v>18.721161874871662</v>
      </c>
      <c r="Z56" s="17">
        <v>17.647372355610852</v>
      </c>
      <c r="AA56" s="16">
        <v>25.668152634970294</v>
      </c>
      <c r="AB56" s="16">
        <v>17.362832137892436</v>
      </c>
      <c r="AC56" s="16">
        <v>15.407433714794811</v>
      </c>
      <c r="AD56" s="17">
        <v>15.503229008834914</v>
      </c>
      <c r="AE56" s="16">
        <v>26.857320618603346</v>
      </c>
      <c r="AF56" s="16">
        <v>24.188004806320439</v>
      </c>
      <c r="AG56" s="16">
        <v>24.047072191393628</v>
      </c>
      <c r="AH56" s="17">
        <v>23.899204397333783</v>
      </c>
      <c r="AI56" s="16">
        <v>31.720837899041179</v>
      </c>
      <c r="AJ56" s="16">
        <v>15.527636219952615</v>
      </c>
      <c r="AK56" s="16">
        <v>26.899909620303358</v>
      </c>
      <c r="AL56" s="17">
        <v>26.390159144350338</v>
      </c>
    </row>
    <row r="57" spans="1:38" x14ac:dyDescent="0.2">
      <c r="A57" s="9" t="s">
        <v>69</v>
      </c>
      <c r="B57" s="10" t="s">
        <v>44</v>
      </c>
      <c r="C57" s="16">
        <v>29435.523999999998</v>
      </c>
      <c r="D57" s="16">
        <v>60794.975999999995</v>
      </c>
      <c r="E57" s="16">
        <v>87826.247000000003</v>
      </c>
      <c r="F57" s="17">
        <v>108897.23299999999</v>
      </c>
      <c r="G57" s="16">
        <v>41909.279594389998</v>
      </c>
      <c r="H57" s="16">
        <v>69269.429610749998</v>
      </c>
      <c r="I57" s="16">
        <v>95292.234345320001</v>
      </c>
      <c r="J57" s="17">
        <v>115492.06246346</v>
      </c>
      <c r="K57" s="16">
        <v>43559.018398029999</v>
      </c>
      <c r="L57" s="16">
        <v>72125.929534099996</v>
      </c>
      <c r="M57" s="16">
        <v>101273.69990775999</v>
      </c>
      <c r="N57" s="17">
        <v>123992.14113293</v>
      </c>
      <c r="O57" s="16">
        <v>55483.040004139999</v>
      </c>
      <c r="P57" s="16">
        <v>87538.383280310009</v>
      </c>
      <c r="Q57" s="16">
        <v>123658.07605641001</v>
      </c>
      <c r="R57" s="17">
        <v>148786.39675027001</v>
      </c>
      <c r="S57" s="16">
        <v>51103.638051019996</v>
      </c>
      <c r="T57" s="16">
        <v>85379.277296740009</v>
      </c>
      <c r="U57" s="16">
        <v>122444.25635172</v>
      </c>
      <c r="V57" s="17">
        <v>162443.93886143001</v>
      </c>
      <c r="W57" s="16">
        <v>48690.907176119996</v>
      </c>
      <c r="X57" s="16">
        <v>72684.283799990008</v>
      </c>
      <c r="Y57" s="16">
        <v>103993.42851792001</v>
      </c>
      <c r="Z57" s="17">
        <v>140178.04468579002</v>
      </c>
      <c r="AA57" s="16">
        <v>43191.686913539997</v>
      </c>
      <c r="AB57" s="16">
        <v>81185.974863830008</v>
      </c>
      <c r="AC57" s="16">
        <v>118454.07626553004</v>
      </c>
      <c r="AD57" s="17">
        <v>168215.96103327998</v>
      </c>
      <c r="AE57" s="16">
        <v>43603.360291259996</v>
      </c>
      <c r="AF57" s="16">
        <v>87000.387615550004</v>
      </c>
      <c r="AG57" s="16">
        <v>125152.13080011</v>
      </c>
      <c r="AH57" s="17">
        <v>163370.74718992002</v>
      </c>
      <c r="AI57" s="16">
        <v>44641.444054560008</v>
      </c>
      <c r="AJ57" s="16">
        <v>101574.58848377001</v>
      </c>
      <c r="AK57" s="16">
        <v>156925.72264183997</v>
      </c>
      <c r="AL57" s="17">
        <v>188614.45547200998</v>
      </c>
    </row>
    <row r="58" spans="1:38" x14ac:dyDescent="0.2">
      <c r="A58" s="13" t="s">
        <v>70</v>
      </c>
      <c r="B58" s="6" t="s">
        <v>44</v>
      </c>
      <c r="C58" s="24">
        <v>5948.8289999999997</v>
      </c>
      <c r="D58" s="24">
        <v>13189.931</v>
      </c>
      <c r="E58" s="24">
        <v>16843.466</v>
      </c>
      <c r="F58" s="25">
        <v>21900.757000000001</v>
      </c>
      <c r="G58" s="24">
        <v>8182.3652366599999</v>
      </c>
      <c r="H58" s="24">
        <v>16350.06764721</v>
      </c>
      <c r="I58" s="24">
        <v>21607.312885579999</v>
      </c>
      <c r="J58" s="25">
        <v>27017.91523622</v>
      </c>
      <c r="K58" s="24">
        <v>9565.3195277800005</v>
      </c>
      <c r="L58" s="24">
        <v>18649.832319540001</v>
      </c>
      <c r="M58" s="24">
        <v>25814.991944969999</v>
      </c>
      <c r="N58" s="25">
        <v>32362.870985830003</v>
      </c>
      <c r="O58" s="24">
        <v>8251.5368262499996</v>
      </c>
      <c r="P58" s="24">
        <v>21764.148914329999</v>
      </c>
      <c r="Q58" s="24">
        <v>29701.611628359999</v>
      </c>
      <c r="R58" s="25">
        <v>36734.275419179998</v>
      </c>
      <c r="S58" s="24">
        <v>10411.19905644</v>
      </c>
      <c r="T58" s="24">
        <v>19761.102818969997</v>
      </c>
      <c r="U58" s="24">
        <v>31047.32145838</v>
      </c>
      <c r="V58" s="25">
        <v>45780.825375060005</v>
      </c>
      <c r="W58" s="24">
        <v>23989.924167049998</v>
      </c>
      <c r="X58" s="24">
        <v>63644.459768160006</v>
      </c>
      <c r="Y58" s="24">
        <v>113159.88369558001</v>
      </c>
      <c r="Z58" s="25">
        <v>151411.37139900003</v>
      </c>
      <c r="AA58" s="24">
        <v>41728.536125499995</v>
      </c>
      <c r="AB58" s="24">
        <v>78120.541181020002</v>
      </c>
      <c r="AC58" s="24">
        <v>115913.25448376003</v>
      </c>
      <c r="AD58" s="25">
        <v>162878.88977821998</v>
      </c>
      <c r="AE58" s="24">
        <v>42244.757834759999</v>
      </c>
      <c r="AF58" s="24">
        <v>84941.24652493</v>
      </c>
      <c r="AG58" s="24">
        <v>122459.85025912999</v>
      </c>
      <c r="AH58" s="25">
        <v>160761.55222882002</v>
      </c>
      <c r="AI58" s="24">
        <v>43481.224982820007</v>
      </c>
      <c r="AJ58" s="24">
        <v>99653.482006350008</v>
      </c>
      <c r="AK58" s="24">
        <v>153998.83430065998</v>
      </c>
      <c r="AL58" s="25">
        <v>184774.84160284998</v>
      </c>
    </row>
    <row r="59" spans="1:38" x14ac:dyDescent="0.2">
      <c r="A59" s="13" t="s">
        <v>71</v>
      </c>
      <c r="B59" s="6" t="s">
        <v>44</v>
      </c>
      <c r="C59" s="24">
        <v>23486.695</v>
      </c>
      <c r="D59" s="24">
        <v>47605.044999999998</v>
      </c>
      <c r="E59" s="24">
        <v>70982.781000000003</v>
      </c>
      <c r="F59" s="25">
        <v>86996.475999999995</v>
      </c>
      <c r="G59" s="24">
        <v>33726.914357729998</v>
      </c>
      <c r="H59" s="24">
        <v>52919.361963540003</v>
      </c>
      <c r="I59" s="24">
        <v>73684.921459739999</v>
      </c>
      <c r="J59" s="25">
        <v>88474.147227239999</v>
      </c>
      <c r="K59" s="24">
        <v>33993.698870250002</v>
      </c>
      <c r="L59" s="24">
        <v>53476.097214560003</v>
      </c>
      <c r="M59" s="24">
        <v>75458.707962789995</v>
      </c>
      <c r="N59" s="25">
        <v>91629.270147100004</v>
      </c>
      <c r="O59" s="24">
        <v>47231.503177890001</v>
      </c>
      <c r="P59" s="24">
        <v>65774.234365979995</v>
      </c>
      <c r="Q59" s="24">
        <v>93956.464428049992</v>
      </c>
      <c r="R59" s="25">
        <v>112052.12133109001</v>
      </c>
      <c r="S59" s="24">
        <v>40692.438994579999</v>
      </c>
      <c r="T59" s="24">
        <v>65618.174477770008</v>
      </c>
      <c r="U59" s="24">
        <v>91396.934893340003</v>
      </c>
      <c r="V59" s="25">
        <v>116663.11348637001</v>
      </c>
      <c r="W59" s="24">
        <v>24700.983009069998</v>
      </c>
      <c r="X59" s="24">
        <v>9039.8240318300032</v>
      </c>
      <c r="Y59" s="24">
        <v>-9166.4551776600001</v>
      </c>
      <c r="Z59" s="25">
        <v>-11233.326713209999</v>
      </c>
      <c r="AA59" s="24">
        <v>1463.15078804</v>
      </c>
      <c r="AB59" s="24">
        <v>3065.4336828100004</v>
      </c>
      <c r="AC59" s="24">
        <v>2540.8217817700001</v>
      </c>
      <c r="AD59" s="25">
        <v>5337.0712550599992</v>
      </c>
      <c r="AE59" s="24">
        <v>1358.6024565</v>
      </c>
      <c r="AF59" s="24">
        <v>2059.1410906200003</v>
      </c>
      <c r="AG59" s="24">
        <v>2692.2805409799998</v>
      </c>
      <c r="AH59" s="25">
        <v>2609.1949611</v>
      </c>
      <c r="AI59" s="24">
        <v>1160.2190717400003</v>
      </c>
      <c r="AJ59" s="24">
        <v>1921.1064774199999</v>
      </c>
      <c r="AK59" s="24">
        <v>2926.8883411799998</v>
      </c>
      <c r="AL59" s="25">
        <v>3839.6138691600004</v>
      </c>
    </row>
    <row r="60" spans="1:38" x14ac:dyDescent="0.2">
      <c r="A60" s="26" t="s">
        <v>72</v>
      </c>
      <c r="B60" s="10" t="s">
        <v>44</v>
      </c>
      <c r="C60" s="16">
        <v>9747.1360000000004</v>
      </c>
      <c r="D60" s="16">
        <v>18247.759999999998</v>
      </c>
      <c r="E60" s="16">
        <v>27134.438999999998</v>
      </c>
      <c r="F60" s="17">
        <v>35284.618999999999</v>
      </c>
      <c r="G60" s="16">
        <v>12095.548109679999</v>
      </c>
      <c r="H60" s="16">
        <v>24075.56531894</v>
      </c>
      <c r="I60" s="16">
        <v>33477.86979397</v>
      </c>
      <c r="J60" s="17">
        <v>43426.612747610001</v>
      </c>
      <c r="K60" s="16">
        <v>14760.262648600001</v>
      </c>
      <c r="L60" s="16">
        <v>30687.57088779</v>
      </c>
      <c r="M60" s="16">
        <v>41700.476920460002</v>
      </c>
      <c r="N60" s="17">
        <v>51496.614627540002</v>
      </c>
      <c r="O60" s="16">
        <v>18681.920156380002</v>
      </c>
      <c r="P60" s="16">
        <v>36975.280725249999</v>
      </c>
      <c r="Q60" s="16">
        <v>50066.412091339997</v>
      </c>
      <c r="R60" s="17">
        <v>62485.054017219998</v>
      </c>
      <c r="S60" s="16">
        <v>20248.307030559998</v>
      </c>
      <c r="T60" s="16">
        <v>36480.311071759999</v>
      </c>
      <c r="U60" s="16">
        <v>52338.545862569998</v>
      </c>
      <c r="V60" s="17">
        <v>72888.821899600007</v>
      </c>
      <c r="W60" s="16">
        <v>23378.988826179993</v>
      </c>
      <c r="X60" s="16">
        <v>68080.209883069998</v>
      </c>
      <c r="Y60" s="16">
        <v>114866.20519467998</v>
      </c>
      <c r="Z60" s="17">
        <v>159208.86412965</v>
      </c>
      <c r="AA60" s="16">
        <v>32669.613300929999</v>
      </c>
      <c r="AB60" s="16">
        <v>80608.211214679992</v>
      </c>
      <c r="AC60" s="16">
        <v>122166.79881859999</v>
      </c>
      <c r="AD60" s="17">
        <v>164811.06737772998</v>
      </c>
      <c r="AE60" s="16">
        <v>42567.364186389997</v>
      </c>
      <c r="AF60" s="16">
        <v>88874.705895179999</v>
      </c>
      <c r="AG60" s="16">
        <v>128297.06242087999</v>
      </c>
      <c r="AH60" s="17">
        <v>170249.87115123999</v>
      </c>
      <c r="AI60" s="16">
        <v>46023.179644019991</v>
      </c>
      <c r="AJ60" s="16">
        <v>101559.91285700999</v>
      </c>
      <c r="AK60" s="16">
        <v>156710.76517654999</v>
      </c>
      <c r="AL60" s="17">
        <v>196269.40274116999</v>
      </c>
    </row>
    <row r="61" spans="1:38" x14ac:dyDescent="0.2">
      <c r="A61" s="13" t="s">
        <v>73</v>
      </c>
      <c r="B61" s="6" t="s">
        <v>44</v>
      </c>
      <c r="C61" s="24">
        <v>5930.924</v>
      </c>
      <c r="D61" s="24">
        <v>11791.329</v>
      </c>
      <c r="E61" s="24">
        <v>16527.423999999999</v>
      </c>
      <c r="F61" s="25">
        <v>21991.751</v>
      </c>
      <c r="G61" s="24">
        <v>7660.8764030099992</v>
      </c>
      <c r="H61" s="24">
        <v>16128.320194420001</v>
      </c>
      <c r="I61" s="24">
        <v>21012.808735160001</v>
      </c>
      <c r="J61" s="25">
        <v>27237.97510861</v>
      </c>
      <c r="K61" s="24">
        <v>8940.6336745099998</v>
      </c>
      <c r="L61" s="24">
        <v>18980.694365880001</v>
      </c>
      <c r="M61" s="24">
        <v>25365.082922919999</v>
      </c>
      <c r="N61" s="25">
        <v>31587.059046259998</v>
      </c>
      <c r="O61" s="24">
        <v>11271.32756442</v>
      </c>
      <c r="P61" s="24">
        <v>21919.905014970002</v>
      </c>
      <c r="Q61" s="24">
        <v>30146.583689219999</v>
      </c>
      <c r="R61" s="25">
        <v>36313.839127669999</v>
      </c>
      <c r="S61" s="24">
        <v>11175.267277049999</v>
      </c>
      <c r="T61" s="24">
        <v>21160.517802409999</v>
      </c>
      <c r="U61" s="24">
        <v>31790.308375879998</v>
      </c>
      <c r="V61" s="25">
        <v>45252.242129460006</v>
      </c>
      <c r="W61" s="24">
        <v>18500.443488019991</v>
      </c>
      <c r="X61" s="24">
        <v>62736.916920790005</v>
      </c>
      <c r="Y61" s="24">
        <v>108772.53006423998</v>
      </c>
      <c r="Z61" s="25">
        <v>152099.42740506001</v>
      </c>
      <c r="AA61" s="24">
        <v>29205.953480749999</v>
      </c>
      <c r="AB61" s="24">
        <v>74512.805704129991</v>
      </c>
      <c r="AC61" s="24">
        <v>112119.66157945999</v>
      </c>
      <c r="AD61" s="25">
        <v>153144.67816312</v>
      </c>
      <c r="AE61" s="24">
        <v>38718.08218682</v>
      </c>
      <c r="AF61" s="24">
        <v>82013.737435839997</v>
      </c>
      <c r="AG61" s="24">
        <v>118986.03235604998</v>
      </c>
      <c r="AH61" s="25">
        <v>159362.24712655999</v>
      </c>
      <c r="AI61" s="24">
        <v>43904.572685329993</v>
      </c>
      <c r="AJ61" s="24">
        <v>97415.151922099991</v>
      </c>
      <c r="AK61" s="24">
        <v>148849.90794181</v>
      </c>
      <c r="AL61" s="25">
        <v>189131.43986531001</v>
      </c>
    </row>
    <row r="62" spans="1:38" x14ac:dyDescent="0.2">
      <c r="A62" s="13" t="s">
        <v>74</v>
      </c>
      <c r="B62" s="6" t="s">
        <v>44</v>
      </c>
      <c r="C62" s="24">
        <v>3816.212</v>
      </c>
      <c r="D62" s="24">
        <v>6456.4309999999996</v>
      </c>
      <c r="E62" s="24">
        <v>10607.014999999999</v>
      </c>
      <c r="F62" s="25">
        <v>13292.868</v>
      </c>
      <c r="G62" s="24">
        <v>4434.6717066700003</v>
      </c>
      <c r="H62" s="24">
        <v>7947.24512452</v>
      </c>
      <c r="I62" s="24">
        <v>12465.061058809999</v>
      </c>
      <c r="J62" s="25">
        <v>16188.637639</v>
      </c>
      <c r="K62" s="24">
        <v>5819.6289740899992</v>
      </c>
      <c r="L62" s="24">
        <v>11706.876521910001</v>
      </c>
      <c r="M62" s="24">
        <v>16335.393997540001</v>
      </c>
      <c r="N62" s="25">
        <v>19909.555581280001</v>
      </c>
      <c r="O62" s="24">
        <v>7410.5925919599995</v>
      </c>
      <c r="P62" s="24">
        <v>15055.375710279999</v>
      </c>
      <c r="Q62" s="24">
        <v>19919.828402120002</v>
      </c>
      <c r="R62" s="25">
        <v>26171.214889549999</v>
      </c>
      <c r="S62" s="24">
        <v>9073.0397535100001</v>
      </c>
      <c r="T62" s="24">
        <v>15319.793269350001</v>
      </c>
      <c r="U62" s="24">
        <v>20548.237486689999</v>
      </c>
      <c r="V62" s="25">
        <v>27636.579770140001</v>
      </c>
      <c r="W62" s="24">
        <v>4878.54533816</v>
      </c>
      <c r="X62" s="24">
        <v>5343.2929622800002</v>
      </c>
      <c r="Y62" s="24">
        <v>6093.6751304400004</v>
      </c>
      <c r="Z62" s="25">
        <v>7109.4367245899994</v>
      </c>
      <c r="AA62" s="24">
        <v>3463.6598201799998</v>
      </c>
      <c r="AB62" s="24">
        <v>6095.4055105500001</v>
      </c>
      <c r="AC62" s="24">
        <v>10047.13723914</v>
      </c>
      <c r="AD62" s="25">
        <v>11666.389214609997</v>
      </c>
      <c r="AE62" s="24">
        <v>3849.2819995700006</v>
      </c>
      <c r="AF62" s="24">
        <v>6860.9684593400007</v>
      </c>
      <c r="AG62" s="24">
        <v>9311.0300648299999</v>
      </c>
      <c r="AH62" s="25">
        <v>10887.624024680003</v>
      </c>
      <c r="AI62" s="24">
        <v>2118.6069586899998</v>
      </c>
      <c r="AJ62" s="24">
        <v>4144.7609349100003</v>
      </c>
      <c r="AK62" s="24">
        <v>7860.8572347400004</v>
      </c>
      <c r="AL62" s="25">
        <v>7137.9628758600002</v>
      </c>
    </row>
    <row r="63" spans="1:38" x14ac:dyDescent="0.2">
      <c r="A63" s="9" t="s">
        <v>75</v>
      </c>
      <c r="B63" s="10" t="s">
        <v>44</v>
      </c>
      <c r="C63" s="16">
        <v>121694.629</v>
      </c>
      <c r="D63" s="16">
        <v>182709.58</v>
      </c>
      <c r="E63" s="16">
        <v>256799.253</v>
      </c>
      <c r="F63" s="17">
        <v>293639.658</v>
      </c>
      <c r="G63" s="16">
        <v>125034.51006367999</v>
      </c>
      <c r="H63" s="16">
        <v>195898.13100624998</v>
      </c>
      <c r="I63" s="16">
        <v>267890.63974026003</v>
      </c>
      <c r="J63" s="17">
        <v>317712.63819739997</v>
      </c>
      <c r="K63" s="16">
        <v>120528.22879869</v>
      </c>
      <c r="L63" s="16">
        <v>196855.16357795001</v>
      </c>
      <c r="M63" s="16">
        <v>242181.84787709001</v>
      </c>
      <c r="N63" s="17">
        <v>294949.95225052</v>
      </c>
      <c r="O63" s="16">
        <v>137262.54186272001</v>
      </c>
      <c r="P63" s="16">
        <v>197912.27382043999</v>
      </c>
      <c r="Q63" s="16">
        <v>259194.06791734998</v>
      </c>
      <c r="R63" s="17">
        <v>317034.68441987003</v>
      </c>
      <c r="S63" s="16">
        <v>138032.51202142998</v>
      </c>
      <c r="T63" s="16">
        <v>205849.11826779999</v>
      </c>
      <c r="U63" s="16">
        <v>276408.28614588</v>
      </c>
      <c r="V63" s="17">
        <v>363261.47953121003</v>
      </c>
      <c r="W63" s="16">
        <v>152035.36794358998</v>
      </c>
      <c r="X63" s="16">
        <v>223995.88414205998</v>
      </c>
      <c r="Y63" s="16">
        <v>297348.85638301005</v>
      </c>
      <c r="Z63" s="17">
        <v>368513.73590891005</v>
      </c>
      <c r="AA63" s="16">
        <v>141456.99585768001</v>
      </c>
      <c r="AB63" s="16">
        <v>216933.28045700002</v>
      </c>
      <c r="AC63" s="16">
        <v>325618.81732281006</v>
      </c>
      <c r="AD63" s="17">
        <v>420912.43044132</v>
      </c>
      <c r="AE63" s="16">
        <v>116638.64128911999</v>
      </c>
      <c r="AF63" s="16">
        <v>246021.37333643</v>
      </c>
      <c r="AG63" s="16">
        <v>393440.84529567999</v>
      </c>
      <c r="AH63" s="17">
        <v>541558.85256908007</v>
      </c>
      <c r="AI63" s="16">
        <v>155652.33765952001</v>
      </c>
      <c r="AJ63" s="16">
        <v>312312.39603156003</v>
      </c>
      <c r="AK63" s="16">
        <v>501224.27247489989</v>
      </c>
      <c r="AL63" s="17">
        <v>638693.22523857013</v>
      </c>
    </row>
    <row r="64" spans="1:38" x14ac:dyDescent="0.2">
      <c r="A64" s="31" t="s">
        <v>76</v>
      </c>
      <c r="B64" s="10" t="s">
        <v>44</v>
      </c>
      <c r="C64" s="16">
        <v>189958.965</v>
      </c>
      <c r="D64" s="16">
        <v>450877.37900000002</v>
      </c>
      <c r="E64" s="16">
        <v>683476.652</v>
      </c>
      <c r="F64" s="17">
        <v>949698.375</v>
      </c>
      <c r="G64" s="16">
        <v>238672.89426842998</v>
      </c>
      <c r="H64" s="16">
        <v>500438.78261832998</v>
      </c>
      <c r="I64" s="16">
        <v>768993.34397356003</v>
      </c>
      <c r="J64" s="17">
        <v>1084908.14990231</v>
      </c>
      <c r="K64" s="16">
        <v>242704.93710558998</v>
      </c>
      <c r="L64" s="16">
        <v>508105.23356003</v>
      </c>
      <c r="M64" s="16">
        <v>807078.46409919998</v>
      </c>
      <c r="N64" s="17">
        <v>1116477.9478938701</v>
      </c>
      <c r="O64" s="16">
        <v>275718.23783194</v>
      </c>
      <c r="P64" s="16">
        <v>510275.12166147999</v>
      </c>
      <c r="Q64" s="16">
        <v>823806.97666317003</v>
      </c>
      <c r="R64" s="17">
        <v>1148203.8634849701</v>
      </c>
      <c r="S64" s="16">
        <v>302068.32246624999</v>
      </c>
      <c r="T64" s="16">
        <v>635546.20406419004</v>
      </c>
      <c r="U64" s="16">
        <v>998605.16261315998</v>
      </c>
      <c r="V64" s="17">
        <v>1303804.2698862797</v>
      </c>
      <c r="W64" s="16">
        <v>255760.34665271002</v>
      </c>
      <c r="X64" s="16">
        <v>539617.36370272003</v>
      </c>
      <c r="Y64" s="16">
        <v>853566.05353208992</v>
      </c>
      <c r="Z64" s="17">
        <v>1186605.0832233203</v>
      </c>
      <c r="AA64" s="16">
        <v>314259.29387040006</v>
      </c>
      <c r="AB64" s="16">
        <v>670036.52068904007</v>
      </c>
      <c r="AC64" s="16">
        <v>1041397.8230490499</v>
      </c>
      <c r="AD64" s="17">
        <v>1365805.34151776</v>
      </c>
      <c r="AE64" s="16">
        <v>352943.11253426998</v>
      </c>
      <c r="AF64" s="16">
        <v>817084.94958621007</v>
      </c>
      <c r="AG64" s="16">
        <v>1585479.7579496102</v>
      </c>
      <c r="AH64" s="17">
        <v>2586860.9793185606</v>
      </c>
      <c r="AI64" s="16">
        <v>558163.61853822996</v>
      </c>
      <c r="AJ64" s="16">
        <v>1152918.4551206604</v>
      </c>
      <c r="AK64" s="16">
        <v>1736007.6608130899</v>
      </c>
      <c r="AL64" s="17">
        <v>2544233.14084891</v>
      </c>
    </row>
    <row r="65" spans="1:38" x14ac:dyDescent="0.2">
      <c r="A65" s="13" t="s">
        <v>77</v>
      </c>
      <c r="B65" s="6" t="s">
        <v>44</v>
      </c>
      <c r="C65" s="24">
        <v>72004.036999999997</v>
      </c>
      <c r="D65" s="24">
        <v>164601.55900000001</v>
      </c>
      <c r="E65" s="24">
        <v>273391.77</v>
      </c>
      <c r="F65" s="25">
        <v>391237.17200000002</v>
      </c>
      <c r="G65" s="24">
        <v>107101.37070447</v>
      </c>
      <c r="H65" s="24">
        <v>237513.24288016002</v>
      </c>
      <c r="I65" s="24">
        <v>371235.14023747999</v>
      </c>
      <c r="J65" s="25">
        <v>547737.09177364002</v>
      </c>
      <c r="K65" s="24">
        <v>115772.49860439</v>
      </c>
      <c r="L65" s="24">
        <v>252767.29567383998</v>
      </c>
      <c r="M65" s="24">
        <v>392739.97525015002</v>
      </c>
      <c r="N65" s="25">
        <v>549692.47774116008</v>
      </c>
      <c r="O65" s="24">
        <v>135240.1654308</v>
      </c>
      <c r="P65" s="24">
        <v>243898.32113656</v>
      </c>
      <c r="Q65" s="24">
        <v>405889.19089062</v>
      </c>
      <c r="R65" s="25">
        <v>584404.09266255994</v>
      </c>
      <c r="S65" s="24">
        <v>151248.45358019997</v>
      </c>
      <c r="T65" s="24">
        <v>321092.60093623999</v>
      </c>
      <c r="U65" s="24">
        <v>507457.62069103005</v>
      </c>
      <c r="V65" s="25">
        <v>667798.66965403</v>
      </c>
      <c r="W65" s="24">
        <v>98965.784761610004</v>
      </c>
      <c r="X65" s="24">
        <v>224837.23238467</v>
      </c>
      <c r="Y65" s="24">
        <v>381260.81635076</v>
      </c>
      <c r="Z65" s="25">
        <v>549603.29986926005</v>
      </c>
      <c r="AA65" s="24">
        <v>121946.94248591001</v>
      </c>
      <c r="AB65" s="24">
        <v>318618.2697451</v>
      </c>
      <c r="AC65" s="24">
        <v>516239.44079127995</v>
      </c>
      <c r="AD65" s="25">
        <v>622318.54316946003</v>
      </c>
      <c r="AE65" s="24">
        <v>162983.43207484996</v>
      </c>
      <c r="AF65" s="24">
        <v>424840.19217882009</v>
      </c>
      <c r="AG65" s="24">
        <v>963813.76877478021</v>
      </c>
      <c r="AH65" s="25">
        <v>1713775.5530735704</v>
      </c>
      <c r="AI65" s="24">
        <v>374307.90912523004</v>
      </c>
      <c r="AJ65" s="24">
        <v>762402.71817127999</v>
      </c>
      <c r="AK65" s="24">
        <v>1129842.9765288599</v>
      </c>
      <c r="AL65" s="25">
        <v>1655843.09181012</v>
      </c>
    </row>
    <row r="66" spans="1:38" x14ac:dyDescent="0.2">
      <c r="A66" s="13" t="s">
        <v>78</v>
      </c>
      <c r="B66" s="6" t="s">
        <v>44</v>
      </c>
      <c r="C66" s="24">
        <v>71759.861000000004</v>
      </c>
      <c r="D66" s="24">
        <v>170584.70800000001</v>
      </c>
      <c r="E66" s="24">
        <v>242472.386</v>
      </c>
      <c r="F66" s="25">
        <v>313850.04100000003</v>
      </c>
      <c r="G66" s="24">
        <v>66642.654275669993</v>
      </c>
      <c r="H66" s="24">
        <v>134726.46197889998</v>
      </c>
      <c r="I66" s="24">
        <v>199160.22032098001</v>
      </c>
      <c r="J66" s="25">
        <v>276302.49739086995</v>
      </c>
      <c r="K66" s="24">
        <v>61945.540807149999</v>
      </c>
      <c r="L66" s="24">
        <v>124816.72810065</v>
      </c>
      <c r="M66" s="24">
        <v>199697.11387485999</v>
      </c>
      <c r="N66" s="25">
        <v>266531.71673231001</v>
      </c>
      <c r="O66" s="24">
        <v>69669.742805989998</v>
      </c>
      <c r="P66" s="24">
        <v>138911.15796590998</v>
      </c>
      <c r="Q66" s="24">
        <v>216951.25500927999</v>
      </c>
      <c r="R66" s="25">
        <v>294463.13948789</v>
      </c>
      <c r="S66" s="24">
        <v>75993.062326939995</v>
      </c>
      <c r="T66" s="24">
        <v>159610.53670843999</v>
      </c>
      <c r="U66" s="24">
        <v>240777.98807267999</v>
      </c>
      <c r="V66" s="25">
        <v>303350.21857317002</v>
      </c>
      <c r="W66" s="24">
        <v>75860.370965449998</v>
      </c>
      <c r="X66" s="24">
        <v>155030.12211694996</v>
      </c>
      <c r="Y66" s="24">
        <v>241037.11818863996</v>
      </c>
      <c r="Z66" s="25">
        <v>325667.74013795005</v>
      </c>
      <c r="AA66" s="24">
        <v>77640.51793722999</v>
      </c>
      <c r="AB66" s="24">
        <v>168855.6908257</v>
      </c>
      <c r="AC66" s="24">
        <v>257171.70317601002</v>
      </c>
      <c r="AD66" s="25">
        <v>351643.86567960994</v>
      </c>
      <c r="AE66" s="24">
        <v>88518.561481030003</v>
      </c>
      <c r="AF66" s="24">
        <v>181163.95626074</v>
      </c>
      <c r="AG66" s="24">
        <v>283306.57768570003</v>
      </c>
      <c r="AH66" s="25">
        <v>395229.15188671998</v>
      </c>
      <c r="AI66" s="24">
        <v>86879.035368889992</v>
      </c>
      <c r="AJ66" s="24">
        <v>186603.23017387002</v>
      </c>
      <c r="AK66" s="24">
        <v>281933.48783505999</v>
      </c>
      <c r="AL66" s="25">
        <v>423656.87343590008</v>
      </c>
    </row>
    <row r="67" spans="1:38" x14ac:dyDescent="0.2">
      <c r="A67" s="13" t="s">
        <v>79</v>
      </c>
      <c r="B67" s="6" t="s">
        <v>44</v>
      </c>
      <c r="C67" s="24">
        <v>7096.0609999999997</v>
      </c>
      <c r="D67" s="24">
        <v>18669.912</v>
      </c>
      <c r="E67" s="24">
        <v>25298.159</v>
      </c>
      <c r="F67" s="25">
        <v>49168.618000000002</v>
      </c>
      <c r="G67" s="24">
        <v>16715.174251830002</v>
      </c>
      <c r="H67" s="24">
        <v>24126.352617609999</v>
      </c>
      <c r="I67" s="24">
        <v>35976.9831404</v>
      </c>
      <c r="J67" s="25">
        <v>48546.721960670002</v>
      </c>
      <c r="K67" s="24">
        <v>16720.07655663</v>
      </c>
      <c r="L67" s="24">
        <v>27768.84347629</v>
      </c>
      <c r="M67" s="24">
        <v>54335.023113049996</v>
      </c>
      <c r="N67" s="25">
        <v>62251.377702189995</v>
      </c>
      <c r="O67" s="24">
        <v>18815.461359280001</v>
      </c>
      <c r="P67" s="24">
        <v>28318.40625996</v>
      </c>
      <c r="Q67" s="24">
        <v>42175.912448659998</v>
      </c>
      <c r="R67" s="25">
        <v>60375.259471369995</v>
      </c>
      <c r="S67" s="24">
        <v>14471.385977569998</v>
      </c>
      <c r="T67" s="24">
        <v>29228.551779970003</v>
      </c>
      <c r="U67" s="24">
        <v>46194.320063409999</v>
      </c>
      <c r="V67" s="25">
        <v>65478.938764209997</v>
      </c>
      <c r="W67" s="24">
        <v>15834.262604609999</v>
      </c>
      <c r="X67" s="24">
        <v>31781.02357818</v>
      </c>
      <c r="Y67" s="24">
        <v>50277.304775680001</v>
      </c>
      <c r="Z67" s="25">
        <v>70278.754585189992</v>
      </c>
      <c r="AA67" s="24">
        <v>17993.14450631</v>
      </c>
      <c r="AB67" s="24">
        <v>39392.2348986</v>
      </c>
      <c r="AC67" s="24">
        <v>64408.680248499993</v>
      </c>
      <c r="AD67" s="25">
        <v>92564.908496700009</v>
      </c>
      <c r="AE67" s="24">
        <v>28047.718150180001</v>
      </c>
      <c r="AF67" s="24">
        <v>57876.268843680002</v>
      </c>
      <c r="AG67" s="24">
        <v>91899.786479669987</v>
      </c>
      <c r="AH67" s="25">
        <v>134715.60134155001</v>
      </c>
      <c r="AI67" s="24">
        <v>24622.695842090001</v>
      </c>
      <c r="AJ67" s="24">
        <v>56544.42052996</v>
      </c>
      <c r="AK67" s="24">
        <v>88447.74897197001</v>
      </c>
      <c r="AL67" s="25">
        <v>130976.17969295001</v>
      </c>
    </row>
    <row r="68" spans="1:38" x14ac:dyDescent="0.2">
      <c r="A68" s="13" t="s">
        <v>80</v>
      </c>
      <c r="B68" s="6" t="s">
        <v>44</v>
      </c>
      <c r="C68" s="24">
        <v>11321.607</v>
      </c>
      <c r="D68" s="24">
        <v>25362.77</v>
      </c>
      <c r="E68" s="24">
        <v>38672.26</v>
      </c>
      <c r="F68" s="25">
        <v>54284.826999999997</v>
      </c>
      <c r="G68" s="24">
        <v>12091.97964279</v>
      </c>
      <c r="H68" s="24">
        <v>29479.342942310002</v>
      </c>
      <c r="I68" s="24">
        <v>45606.284967380001</v>
      </c>
      <c r="J68" s="25">
        <v>61776.373730589999</v>
      </c>
      <c r="K68" s="24">
        <v>13174.341979390001</v>
      </c>
      <c r="L68" s="24">
        <v>28706.67657851</v>
      </c>
      <c r="M68" s="24">
        <v>45500.861183610003</v>
      </c>
      <c r="N68" s="25">
        <v>63353.569067359997</v>
      </c>
      <c r="O68" s="24">
        <v>15932.467057220001</v>
      </c>
      <c r="P68" s="24">
        <v>28146.515732980002</v>
      </c>
      <c r="Q68" s="24">
        <v>41734.289088849997</v>
      </c>
      <c r="R68" s="25">
        <v>64989.964952990005</v>
      </c>
      <c r="S68" s="24">
        <v>15609.05643533</v>
      </c>
      <c r="T68" s="24">
        <v>32858.202604309998</v>
      </c>
      <c r="U68" s="24">
        <v>50630.193414789996</v>
      </c>
      <c r="V68" s="25">
        <v>68708.163979799981</v>
      </c>
      <c r="W68" s="24">
        <v>14835.254003799999</v>
      </c>
      <c r="X68" s="24">
        <v>24532.557238560003</v>
      </c>
      <c r="Y68" s="24">
        <v>36364.405385389997</v>
      </c>
      <c r="Z68" s="25">
        <v>49162.40505876</v>
      </c>
      <c r="AA68" s="24">
        <v>10420.607237850001</v>
      </c>
      <c r="AB68" s="24">
        <v>25154.18371103</v>
      </c>
      <c r="AC68" s="24">
        <v>41468.926550650001</v>
      </c>
      <c r="AD68" s="25">
        <v>58838.540364410008</v>
      </c>
      <c r="AE68" s="24">
        <v>16119.607248060001</v>
      </c>
      <c r="AF68" s="24">
        <v>34987.960989940002</v>
      </c>
      <c r="AG68" s="24">
        <v>56241.54308381</v>
      </c>
      <c r="AH68" s="25">
        <v>73447.138153740001</v>
      </c>
      <c r="AI68" s="24">
        <v>11895.779372960002</v>
      </c>
      <c r="AJ68" s="24">
        <v>26004.358996310002</v>
      </c>
      <c r="AK68" s="24">
        <v>43891.753094360007</v>
      </c>
      <c r="AL68" s="25">
        <v>63830.625214480002</v>
      </c>
    </row>
    <row r="69" spans="1:38" x14ac:dyDescent="0.2">
      <c r="A69" s="13" t="s">
        <v>81</v>
      </c>
      <c r="B69" s="6" t="s">
        <v>44</v>
      </c>
      <c r="C69" s="24">
        <v>7567.8119999999999</v>
      </c>
      <c r="D69" s="24">
        <v>21001.599999999999</v>
      </c>
      <c r="E69" s="24">
        <v>29563.208999999999</v>
      </c>
      <c r="F69" s="25">
        <v>34490.036</v>
      </c>
      <c r="G69" s="24">
        <v>10936.38946484</v>
      </c>
      <c r="H69" s="24">
        <v>21480.386555520003</v>
      </c>
      <c r="I69" s="24">
        <v>32727.937301089998</v>
      </c>
      <c r="J69" s="25">
        <v>44258.61271609</v>
      </c>
      <c r="K69" s="24">
        <v>10057.804528659999</v>
      </c>
      <c r="L69" s="24">
        <v>23535.548491280002</v>
      </c>
      <c r="M69" s="24">
        <v>33455.727435100001</v>
      </c>
      <c r="N69" s="25">
        <v>43341.462843319998</v>
      </c>
      <c r="O69" s="24">
        <v>10646.91021199</v>
      </c>
      <c r="P69" s="24">
        <v>24651.74702726</v>
      </c>
      <c r="Q69" s="24">
        <v>37125.206615089999</v>
      </c>
      <c r="R69" s="25">
        <v>50202.77212044</v>
      </c>
      <c r="S69" s="24">
        <v>19430.288806820001</v>
      </c>
      <c r="T69" s="24">
        <v>37583.08147931</v>
      </c>
      <c r="U69" s="24">
        <v>61791.887082599998</v>
      </c>
      <c r="V69" s="25">
        <v>75777.823509429989</v>
      </c>
      <c r="W69" s="24">
        <v>21928.165741889999</v>
      </c>
      <c r="X69" s="24">
        <v>42556.96875932</v>
      </c>
      <c r="Y69" s="24">
        <v>66241.855048080004</v>
      </c>
      <c r="Z69" s="25">
        <v>83375.870732059979</v>
      </c>
      <c r="AA69" s="24">
        <v>44250.142350490001</v>
      </c>
      <c r="AB69" s="24">
        <v>36728.01370258</v>
      </c>
      <c r="AC69" s="24">
        <v>58338.533746230001</v>
      </c>
      <c r="AD69" s="25">
        <v>96590.762307220008</v>
      </c>
      <c r="AE69" s="24">
        <v>19057.79453345</v>
      </c>
      <c r="AF69" s="24">
        <v>39436.651590449997</v>
      </c>
      <c r="AG69" s="24">
        <v>69934.050627299992</v>
      </c>
      <c r="AH69" s="25">
        <v>97214.528229589981</v>
      </c>
      <c r="AI69" s="24">
        <v>21231.686070540003</v>
      </c>
      <c r="AJ69" s="24">
        <v>43033.043524280001</v>
      </c>
      <c r="AK69" s="24">
        <v>71799.159126760002</v>
      </c>
      <c r="AL69" s="25">
        <v>103329.46951800001</v>
      </c>
    </row>
    <row r="70" spans="1:38" x14ac:dyDescent="0.2">
      <c r="A70" s="13" t="s">
        <v>82</v>
      </c>
      <c r="B70" s="6" t="s">
        <v>44</v>
      </c>
      <c r="C70" s="24">
        <v>20209.586999999992</v>
      </c>
      <c r="D70" s="24">
        <v>50656.829999999994</v>
      </c>
      <c r="E70" s="24">
        <v>74078.867999999988</v>
      </c>
      <c r="F70" s="24">
        <v>106667.68099999995</v>
      </c>
      <c r="G70" s="24">
        <v>25185.325928829989</v>
      </c>
      <c r="H70" s="24">
        <v>53112.99564383</v>
      </c>
      <c r="I70" s="24">
        <v>84286.77800623003</v>
      </c>
      <c r="J70" s="24">
        <v>106286.85233045003</v>
      </c>
      <c r="K70" s="24">
        <v>25034.674629369987</v>
      </c>
      <c r="L70" s="24">
        <v>50510.141239460019</v>
      </c>
      <c r="M70" s="24">
        <v>81349.763242429966</v>
      </c>
      <c r="N70" s="24">
        <v>131307.34380753001</v>
      </c>
      <c r="O70" s="24">
        <v>25413.490966660007</v>
      </c>
      <c r="P70" s="24">
        <v>46348.973538810009</v>
      </c>
      <c r="Q70" s="24">
        <v>79931.122610670049</v>
      </c>
      <c r="R70" s="24">
        <v>93768.634789720119</v>
      </c>
      <c r="S70" s="24">
        <v>25316.07533939002</v>
      </c>
      <c r="T70" s="24">
        <v>55173.230555920047</v>
      </c>
      <c r="U70" s="24">
        <v>91753.153288649919</v>
      </c>
      <c r="V70" s="24">
        <v>122690.45540563975</v>
      </c>
      <c r="W70" s="24">
        <v>28336.508575350024</v>
      </c>
      <c r="X70" s="24">
        <v>60879.459625040072</v>
      </c>
      <c r="Y70" s="24">
        <v>78384.553783539945</v>
      </c>
      <c r="Z70" s="24">
        <v>108517.01284010026</v>
      </c>
      <c r="AA70" s="24">
        <v>42007.939352610047</v>
      </c>
      <c r="AB70" s="24">
        <v>81288.127806030068</v>
      </c>
      <c r="AC70" s="24">
        <v>103770.53853637999</v>
      </c>
      <c r="AD70" s="24">
        <v>143848.72150036</v>
      </c>
      <c r="AE70" s="24">
        <v>38215.999046700032</v>
      </c>
      <c r="AF70" s="24">
        <v>78779.919722579973</v>
      </c>
      <c r="AG70" s="24">
        <v>120284.03129835002</v>
      </c>
      <c r="AH70" s="25">
        <v>172479.00663339027</v>
      </c>
      <c r="AI70" s="24">
        <v>39226.512758519915</v>
      </c>
      <c r="AJ70" s="24">
        <v>78330.683724960356</v>
      </c>
      <c r="AK70" s="24">
        <v>120092.53525608001</v>
      </c>
      <c r="AL70" s="25">
        <v>166596.90117745986</v>
      </c>
    </row>
    <row r="71" spans="1:38" x14ac:dyDescent="0.2">
      <c r="A71" s="31" t="s">
        <v>83</v>
      </c>
      <c r="B71" s="10" t="s">
        <v>44</v>
      </c>
      <c r="C71" s="16">
        <v>39227.624000000003</v>
      </c>
      <c r="D71" s="16">
        <v>92806.118000000002</v>
      </c>
      <c r="E71" s="16">
        <v>146782.52600000001</v>
      </c>
      <c r="F71" s="17">
        <v>204280.584</v>
      </c>
      <c r="G71" s="16">
        <v>50353.911547540003</v>
      </c>
      <c r="H71" s="16">
        <v>110077.68799963</v>
      </c>
      <c r="I71" s="16">
        <v>179102.65328159003</v>
      </c>
      <c r="J71" s="17">
        <v>277920.46114259999</v>
      </c>
      <c r="K71" s="16">
        <v>71714.164571999994</v>
      </c>
      <c r="L71" s="16">
        <v>153846.00427154999</v>
      </c>
      <c r="M71" s="16">
        <v>241410.48154307</v>
      </c>
      <c r="N71" s="17">
        <v>326417.13555829</v>
      </c>
      <c r="O71" s="16">
        <v>79888.306076560009</v>
      </c>
      <c r="P71" s="16">
        <v>145038.76409705001</v>
      </c>
      <c r="Q71" s="16">
        <v>243910.03602825</v>
      </c>
      <c r="R71" s="17">
        <v>342239.53805307002</v>
      </c>
      <c r="S71" s="16">
        <v>99890.814644629994</v>
      </c>
      <c r="T71" s="16">
        <v>212280.55151061001</v>
      </c>
      <c r="U71" s="16">
        <v>328457.20933008997</v>
      </c>
      <c r="V71" s="17">
        <v>448746.58514933998</v>
      </c>
      <c r="W71" s="16">
        <v>69698.99274971</v>
      </c>
      <c r="X71" s="16">
        <v>137010.76049079999</v>
      </c>
      <c r="Y71" s="16">
        <v>237340.03957674</v>
      </c>
      <c r="Z71" s="17">
        <v>343511.00508942996</v>
      </c>
      <c r="AA71" s="16">
        <v>101568.32186885999</v>
      </c>
      <c r="AB71" s="16">
        <v>193786.73528115998</v>
      </c>
      <c r="AC71" s="16">
        <v>286501.98867024004</v>
      </c>
      <c r="AD71" s="17">
        <v>351936.93047189002</v>
      </c>
      <c r="AE71" s="16">
        <v>69738.42666415</v>
      </c>
      <c r="AF71" s="16">
        <v>159053.46840693001</v>
      </c>
      <c r="AG71" s="16">
        <v>227758.01688910002</v>
      </c>
      <c r="AH71" s="17">
        <v>315596.06737265992</v>
      </c>
      <c r="AI71" s="16">
        <v>54200.929404459996</v>
      </c>
      <c r="AJ71" s="16">
        <v>125814.78232547001</v>
      </c>
      <c r="AK71" s="16">
        <v>210270.88301231002</v>
      </c>
      <c r="AL71" s="17">
        <v>285029.84847774002</v>
      </c>
    </row>
    <row r="72" spans="1:38" x14ac:dyDescent="0.2">
      <c r="A72" s="13" t="s">
        <v>84</v>
      </c>
      <c r="B72" s="6" t="s">
        <v>44</v>
      </c>
      <c r="C72" s="24">
        <v>18038.126</v>
      </c>
      <c r="D72" s="24">
        <v>40882.786</v>
      </c>
      <c r="E72" s="24">
        <v>68118.928</v>
      </c>
      <c r="F72" s="25">
        <v>96858.551999999996</v>
      </c>
      <c r="G72" s="24">
        <v>23467.280408100003</v>
      </c>
      <c r="H72" s="24">
        <v>53493.683884040001</v>
      </c>
      <c r="I72" s="24">
        <v>84425.674279440005</v>
      </c>
      <c r="J72" s="25">
        <v>150568.25715532</v>
      </c>
      <c r="K72" s="24">
        <v>45318.573333300003</v>
      </c>
      <c r="L72" s="24">
        <v>96856.089063849999</v>
      </c>
      <c r="M72" s="24">
        <v>150529.81261792002</v>
      </c>
      <c r="N72" s="25">
        <v>200674.79413143001</v>
      </c>
      <c r="O72" s="24">
        <v>49217.23132852</v>
      </c>
      <c r="P72" s="24">
        <v>88284.679881950011</v>
      </c>
      <c r="Q72" s="24">
        <v>150046.80564412999</v>
      </c>
      <c r="R72" s="25">
        <v>210240.55064500999</v>
      </c>
      <c r="S72" s="24">
        <v>62296.954164429997</v>
      </c>
      <c r="T72" s="24">
        <v>133427.86088167</v>
      </c>
      <c r="U72" s="24">
        <v>202333.61955598</v>
      </c>
      <c r="V72" s="25">
        <v>281564.28896637005</v>
      </c>
      <c r="W72" s="24">
        <v>32422.490815449997</v>
      </c>
      <c r="X72" s="24">
        <v>65602.998816630003</v>
      </c>
      <c r="Y72" s="24">
        <v>127995.11121005</v>
      </c>
      <c r="Z72" s="25">
        <v>193059.35091894001</v>
      </c>
      <c r="AA72" s="24">
        <v>51352.094350069994</v>
      </c>
      <c r="AB72" s="24">
        <v>115289.96791992</v>
      </c>
      <c r="AC72" s="24">
        <v>162747.91407497003</v>
      </c>
      <c r="AD72" s="25">
        <v>180189.40712929002</v>
      </c>
      <c r="AE72" s="24">
        <v>27527.808181060002</v>
      </c>
      <c r="AF72" s="24">
        <v>69177.447269219992</v>
      </c>
      <c r="AG72" s="24">
        <v>83263.560572689996</v>
      </c>
      <c r="AH72" s="25">
        <v>113604.00272077999</v>
      </c>
      <c r="AI72" s="24">
        <v>15442.041341130001</v>
      </c>
      <c r="AJ72" s="24">
        <v>40465.579246759997</v>
      </c>
      <c r="AK72" s="24">
        <v>75807.055687900007</v>
      </c>
      <c r="AL72" s="25">
        <v>89704.659261479988</v>
      </c>
    </row>
    <row r="73" spans="1:38" x14ac:dyDescent="0.2">
      <c r="A73" s="13" t="s">
        <v>85</v>
      </c>
      <c r="B73" s="6" t="s">
        <v>44</v>
      </c>
      <c r="C73" s="24">
        <v>12942.76</v>
      </c>
      <c r="D73" s="24">
        <v>28842.335999999999</v>
      </c>
      <c r="E73" s="24">
        <v>42145.313999999998</v>
      </c>
      <c r="F73" s="25">
        <v>55210.855000000003</v>
      </c>
      <c r="G73" s="24">
        <v>13064.9560936</v>
      </c>
      <c r="H73" s="24">
        <v>27673.903812279998</v>
      </c>
      <c r="I73" s="24">
        <v>41730.736129479999</v>
      </c>
      <c r="J73" s="25">
        <v>58171.968781650001</v>
      </c>
      <c r="K73" s="24">
        <v>11608.97631002</v>
      </c>
      <c r="L73" s="24">
        <v>24928.507961380001</v>
      </c>
      <c r="M73" s="24">
        <v>38107.713382480004</v>
      </c>
      <c r="N73" s="25">
        <v>53294.547825630005</v>
      </c>
      <c r="O73" s="24">
        <v>12630.409271029999</v>
      </c>
      <c r="P73" s="24">
        <v>24889.621690079999</v>
      </c>
      <c r="Q73" s="24">
        <v>41614.659964630002</v>
      </c>
      <c r="R73" s="25">
        <v>59930.555671809998</v>
      </c>
      <c r="S73" s="24">
        <v>15556.581026489999</v>
      </c>
      <c r="T73" s="24">
        <v>32154.780687049999</v>
      </c>
      <c r="U73" s="24">
        <v>50654.420532949996</v>
      </c>
      <c r="V73" s="25">
        <v>66070.30619737001</v>
      </c>
      <c r="W73" s="24">
        <v>15031.394928899999</v>
      </c>
      <c r="X73" s="24">
        <v>30309.543184729999</v>
      </c>
      <c r="Y73" s="24">
        <v>46930.202777589999</v>
      </c>
      <c r="Z73" s="25">
        <v>65393.277746489999</v>
      </c>
      <c r="AA73" s="24">
        <v>16471.425377119998</v>
      </c>
      <c r="AB73" s="24">
        <v>33503.730851939996</v>
      </c>
      <c r="AC73" s="24">
        <v>52227.119449210004</v>
      </c>
      <c r="AD73" s="25">
        <v>73336.46553591</v>
      </c>
      <c r="AE73" s="24">
        <v>17530.165853550003</v>
      </c>
      <c r="AF73" s="24">
        <v>36660.994048690001</v>
      </c>
      <c r="AG73" s="24">
        <v>58284.52943568</v>
      </c>
      <c r="AH73" s="25">
        <v>82333.00459027999</v>
      </c>
      <c r="AI73" s="24">
        <v>16955.67254431</v>
      </c>
      <c r="AJ73" s="24">
        <v>36421.770893920002</v>
      </c>
      <c r="AK73" s="24">
        <v>57957.019033539997</v>
      </c>
      <c r="AL73" s="25">
        <v>83954.209514059999</v>
      </c>
    </row>
    <row r="74" spans="1:38" x14ac:dyDescent="0.2">
      <c r="A74" s="13" t="s">
        <v>86</v>
      </c>
      <c r="B74" s="6" t="s">
        <v>44</v>
      </c>
      <c r="C74" s="24">
        <v>1380.05</v>
      </c>
      <c r="D74" s="24">
        <v>3509.2040000000002</v>
      </c>
      <c r="E74" s="24">
        <v>5160.5540000000001</v>
      </c>
      <c r="F74" s="25">
        <v>8860.0720000000001</v>
      </c>
      <c r="G74" s="24">
        <v>2596.89579301</v>
      </c>
      <c r="H74" s="24">
        <v>5445.1249934699999</v>
      </c>
      <c r="I74" s="24">
        <v>7974.9413061400001</v>
      </c>
      <c r="J74" s="25">
        <v>11714.58834283</v>
      </c>
      <c r="K74" s="24">
        <v>3141.0078783999998</v>
      </c>
      <c r="L74" s="24">
        <v>5930.3050386300001</v>
      </c>
      <c r="M74" s="24">
        <v>8993.0056186299989</v>
      </c>
      <c r="N74" s="25">
        <v>12593.36003756</v>
      </c>
      <c r="O74" s="24">
        <v>3729.62183306</v>
      </c>
      <c r="P74" s="24">
        <v>6605.5255356400003</v>
      </c>
      <c r="Q74" s="24">
        <v>10490.229365879999</v>
      </c>
      <c r="R74" s="25">
        <v>15899.792309119999</v>
      </c>
      <c r="S74" s="24">
        <v>3984.5146022100002</v>
      </c>
      <c r="T74" s="24">
        <v>8673.9153131599996</v>
      </c>
      <c r="U74" s="24">
        <v>13774.559777799999</v>
      </c>
      <c r="V74" s="25">
        <v>18587.94097589</v>
      </c>
      <c r="W74" s="24">
        <v>4116.1174554700001</v>
      </c>
      <c r="X74" s="24">
        <v>8119.7901598799999</v>
      </c>
      <c r="Y74" s="24">
        <v>13203.342264070001</v>
      </c>
      <c r="Z74" s="25">
        <v>18670.310811620002</v>
      </c>
      <c r="AA74" s="24">
        <v>4645.0497694899996</v>
      </c>
      <c r="AB74" s="24">
        <v>9999.9843484400008</v>
      </c>
      <c r="AC74" s="24">
        <v>16651.54577112</v>
      </c>
      <c r="AD74" s="25">
        <v>24078.956652690002</v>
      </c>
      <c r="AE74" s="24">
        <v>6678.3710344399997</v>
      </c>
      <c r="AF74" s="24">
        <v>14718.718814260001</v>
      </c>
      <c r="AG74" s="24">
        <v>23889.5135123</v>
      </c>
      <c r="AH74" s="25">
        <v>33437.702428229997</v>
      </c>
      <c r="AI74" s="24">
        <v>5492.0006539299993</v>
      </c>
      <c r="AJ74" s="24">
        <v>12062.185890119999</v>
      </c>
      <c r="AK74" s="24">
        <v>21036.0402196</v>
      </c>
      <c r="AL74" s="25">
        <v>29953.398721379999</v>
      </c>
    </row>
    <row r="75" spans="1:38" x14ac:dyDescent="0.2">
      <c r="A75" s="13" t="s">
        <v>87</v>
      </c>
      <c r="B75" s="6" t="s">
        <v>44</v>
      </c>
      <c r="C75" s="24">
        <v>2817.3270000000002</v>
      </c>
      <c r="D75" s="24">
        <v>5980.7150000000001</v>
      </c>
      <c r="E75" s="24">
        <v>10009.145</v>
      </c>
      <c r="F75" s="25">
        <v>13887.043</v>
      </c>
      <c r="G75" s="24">
        <v>3089.37301518</v>
      </c>
      <c r="H75" s="24">
        <v>7138.7013027499997</v>
      </c>
      <c r="I75" s="24">
        <v>12115.09029871</v>
      </c>
      <c r="J75" s="25">
        <v>17361.931388409997</v>
      </c>
      <c r="K75" s="24">
        <v>4060.2939040199999</v>
      </c>
      <c r="L75" s="24">
        <v>9648.7044142000013</v>
      </c>
      <c r="M75" s="24">
        <v>15584.94463738</v>
      </c>
      <c r="N75" s="25">
        <v>20792.221357269998</v>
      </c>
      <c r="O75" s="24">
        <v>5712.9363956399993</v>
      </c>
      <c r="P75" s="24">
        <v>10026.423815390001</v>
      </c>
      <c r="Q75" s="24">
        <v>14788.534399189999</v>
      </c>
      <c r="R75" s="25">
        <v>23531.093999480003</v>
      </c>
      <c r="S75" s="24">
        <v>6100.3407948700005</v>
      </c>
      <c r="T75" s="24">
        <v>13714.28862091</v>
      </c>
      <c r="U75" s="24">
        <v>21675.752215059998</v>
      </c>
      <c r="V75" s="25">
        <v>30880.786944039999</v>
      </c>
      <c r="W75" s="24">
        <v>6016.6515745999995</v>
      </c>
      <c r="X75" s="24">
        <v>9181.3288921300009</v>
      </c>
      <c r="Y75" s="24">
        <v>12953.152532760001</v>
      </c>
      <c r="Z75" s="25">
        <v>16673.974967639999</v>
      </c>
      <c r="AA75" s="24">
        <v>3559.9456521500001</v>
      </c>
      <c r="AB75" s="24">
        <v>8506.135518369998</v>
      </c>
      <c r="AC75" s="24">
        <v>13748.223909800001</v>
      </c>
      <c r="AD75" s="25">
        <v>20024.722634310001</v>
      </c>
      <c r="AE75" s="24">
        <v>5766.7321396799998</v>
      </c>
      <c r="AF75" s="24">
        <v>13307.73160381</v>
      </c>
      <c r="AG75" s="24">
        <v>22315.392552009998</v>
      </c>
      <c r="AH75" s="25">
        <v>30209.10838876</v>
      </c>
      <c r="AI75" s="24">
        <v>5030.4245577399988</v>
      </c>
      <c r="AJ75" s="24">
        <v>11417.942001459996</v>
      </c>
      <c r="AK75" s="24">
        <v>19195.026173730002</v>
      </c>
      <c r="AL75" s="25">
        <v>29836.719988090001</v>
      </c>
    </row>
    <row r="76" spans="1:38" x14ac:dyDescent="0.2">
      <c r="A76" s="13" t="s">
        <v>88</v>
      </c>
      <c r="B76" s="6" t="s">
        <v>44</v>
      </c>
      <c r="C76" s="24">
        <v>708.44299999999998</v>
      </c>
      <c r="D76" s="24">
        <v>1922.7280000000001</v>
      </c>
      <c r="E76" s="24">
        <v>3239.9259999999999</v>
      </c>
      <c r="F76" s="25">
        <v>4222.1610000000001</v>
      </c>
      <c r="G76" s="24">
        <v>1044.0577945299999</v>
      </c>
      <c r="H76" s="24">
        <v>2158.36121159</v>
      </c>
      <c r="I76" s="24">
        <v>4099.63608286</v>
      </c>
      <c r="J76" s="25">
        <v>5847.1178117199997</v>
      </c>
      <c r="K76" s="24">
        <v>1208.32348617</v>
      </c>
      <c r="L76" s="24">
        <v>2700.4621748499999</v>
      </c>
      <c r="M76" s="24">
        <v>4920.0269933200007</v>
      </c>
      <c r="N76" s="25">
        <v>6724.5091509200001</v>
      </c>
      <c r="O76" s="24">
        <v>1736.12993744</v>
      </c>
      <c r="P76" s="24">
        <v>3470.7439931100002</v>
      </c>
      <c r="Q76" s="24">
        <v>5408.9586784699995</v>
      </c>
      <c r="R76" s="25">
        <v>7810.2576904499992</v>
      </c>
      <c r="S76" s="24">
        <v>2106.2713641099999</v>
      </c>
      <c r="T76" s="24">
        <v>4479.2645222600004</v>
      </c>
      <c r="U76" s="24">
        <v>7529.1736548899999</v>
      </c>
      <c r="V76" s="25">
        <v>9850.357761719999</v>
      </c>
      <c r="W76" s="24">
        <v>2324.4632766700001</v>
      </c>
      <c r="X76" s="24">
        <v>5276.0093270100015</v>
      </c>
      <c r="Y76" s="24">
        <v>8891.1249536899995</v>
      </c>
      <c r="Z76" s="25">
        <v>12602.44265309</v>
      </c>
      <c r="AA76" s="24">
        <v>2757.7190515300003</v>
      </c>
      <c r="AB76" s="24">
        <v>3712.6452787599997</v>
      </c>
      <c r="AC76" s="24">
        <v>8622.2773196300004</v>
      </c>
      <c r="AD76" s="25">
        <v>11817.526729809997</v>
      </c>
      <c r="AE76" s="24">
        <v>2742.8894517100002</v>
      </c>
      <c r="AF76" s="24">
        <v>5504.333032219999</v>
      </c>
      <c r="AG76" s="24">
        <v>8775.1418595100004</v>
      </c>
      <c r="AH76" s="25">
        <v>12255.034998319998</v>
      </c>
      <c r="AI76" s="24">
        <v>1873.9838027700002</v>
      </c>
      <c r="AJ76" s="24">
        <v>3865.6226185800001</v>
      </c>
      <c r="AK76" s="24">
        <v>6516.4734301399994</v>
      </c>
      <c r="AL76" s="25">
        <v>9454.0774060800013</v>
      </c>
    </row>
    <row r="77" spans="1:38" x14ac:dyDescent="0.2">
      <c r="A77" s="13" t="s">
        <v>89</v>
      </c>
      <c r="B77" s="6" t="s">
        <v>44</v>
      </c>
      <c r="C77" s="24">
        <v>3340.9180000000024</v>
      </c>
      <c r="D77" s="24">
        <v>11668.349000000002</v>
      </c>
      <c r="E77" s="24">
        <v>18108.659000000014</v>
      </c>
      <c r="F77" s="24">
        <v>25241.901000000005</v>
      </c>
      <c r="G77" s="24">
        <v>7091.3484431199995</v>
      </c>
      <c r="H77" s="24">
        <v>14167.9127955</v>
      </c>
      <c r="I77" s="24">
        <v>28756.575184960027</v>
      </c>
      <c r="J77" s="24">
        <v>34256.597662669985</v>
      </c>
      <c r="K77" s="24">
        <v>6376.989660089992</v>
      </c>
      <c r="L77" s="24">
        <v>13781.935618639989</v>
      </c>
      <c r="M77" s="24">
        <v>23274.978293339973</v>
      </c>
      <c r="N77" s="24">
        <v>32337.703055479993</v>
      </c>
      <c r="O77" s="24">
        <v>6861.9773108700101</v>
      </c>
      <c r="P77" s="24">
        <v>11761.769180879995</v>
      </c>
      <c r="Q77" s="24">
        <v>21560.847975950019</v>
      </c>
      <c r="R77" s="24">
        <v>24827.287737200029</v>
      </c>
      <c r="S77" s="24">
        <v>9846.152692519996</v>
      </c>
      <c r="T77" s="24">
        <v>19830.441485560012</v>
      </c>
      <c r="U77" s="24">
        <v>32489.68359340998</v>
      </c>
      <c r="V77" s="24">
        <v>41792.90430394993</v>
      </c>
      <c r="W77" s="24">
        <v>9787.8746986199967</v>
      </c>
      <c r="X77" s="24">
        <v>18521.090110419987</v>
      </c>
      <c r="Y77" s="24">
        <v>27367.105838579999</v>
      </c>
      <c r="Z77" s="24">
        <v>37111.647991649959</v>
      </c>
      <c r="AA77" s="24">
        <v>22782.087668499993</v>
      </c>
      <c r="AB77" s="24">
        <v>22774.271363729982</v>
      </c>
      <c r="AC77" s="24">
        <v>32504.908145510006</v>
      </c>
      <c r="AD77" s="24">
        <v>42489.851789880006</v>
      </c>
      <c r="AE77" s="24">
        <v>9492.4600037100008</v>
      </c>
      <c r="AF77" s="24">
        <v>19684.243638730022</v>
      </c>
      <c r="AG77" s="24">
        <v>31229.878956910045</v>
      </c>
      <c r="AH77" s="25">
        <v>43757.214246289965</v>
      </c>
      <c r="AI77" s="24">
        <v>9406.806504579994</v>
      </c>
      <c r="AJ77" s="24">
        <v>21581.681674630014</v>
      </c>
      <c r="AK77" s="24">
        <v>29759.26846740003</v>
      </c>
      <c r="AL77" s="25">
        <v>42126.783586650039</v>
      </c>
    </row>
    <row r="78" spans="1:38" x14ac:dyDescent="0.2">
      <c r="A78" s="9" t="s">
        <v>90</v>
      </c>
      <c r="B78" s="10" t="s">
        <v>44</v>
      </c>
      <c r="C78" s="32">
        <v>3949.029</v>
      </c>
      <c r="D78" s="32">
        <v>11126.523999999999</v>
      </c>
      <c r="E78" s="32">
        <v>20464.952000000001</v>
      </c>
      <c r="F78" s="33">
        <v>32021.026000000002</v>
      </c>
      <c r="G78" s="32">
        <v>12812.44135882</v>
      </c>
      <c r="H78" s="32">
        <v>34064.69943108</v>
      </c>
      <c r="I78" s="32">
        <v>54764.622243350001</v>
      </c>
      <c r="J78" s="33">
        <v>74651.242845640008</v>
      </c>
      <c r="K78" s="32">
        <v>14787.232658199999</v>
      </c>
      <c r="L78" s="32">
        <v>33352.810294789997</v>
      </c>
      <c r="M78" s="32">
        <v>51050.295847580004</v>
      </c>
      <c r="N78" s="33">
        <v>68070.306132719998</v>
      </c>
      <c r="O78" s="32">
        <v>13306.04302252</v>
      </c>
      <c r="P78" s="32">
        <v>31963.939582949999</v>
      </c>
      <c r="Q78" s="32">
        <v>52964.256598679996</v>
      </c>
      <c r="R78" s="33">
        <v>72109.516137950006</v>
      </c>
      <c r="S78" s="32">
        <v>19527.35928339</v>
      </c>
      <c r="T78" s="32">
        <v>52398.297905220003</v>
      </c>
      <c r="U78" s="32">
        <v>79373.112079940009</v>
      </c>
      <c r="V78" s="17">
        <v>68523.015633860006</v>
      </c>
      <c r="W78" s="16">
        <v>18902.712029969996</v>
      </c>
      <c r="X78" s="16">
        <v>42331.586188009998</v>
      </c>
      <c r="Y78" s="16">
        <v>69598.797437469984</v>
      </c>
      <c r="Z78" s="17">
        <v>98783.352339360004</v>
      </c>
      <c r="AA78" s="16">
        <v>38413.217211859999</v>
      </c>
      <c r="AB78" s="16">
        <v>89000.651598660013</v>
      </c>
      <c r="AC78" s="16">
        <v>132543.88665892</v>
      </c>
      <c r="AD78" s="17">
        <v>180552.95988183998</v>
      </c>
      <c r="AE78" s="16">
        <v>31817.936428429999</v>
      </c>
      <c r="AF78" s="16">
        <v>67449.415652470008</v>
      </c>
      <c r="AG78" s="16">
        <v>106133.16895239</v>
      </c>
      <c r="AH78" s="17">
        <v>139929.03277054001</v>
      </c>
      <c r="AI78" s="16">
        <v>25567.027466989999</v>
      </c>
      <c r="AJ78" s="16">
        <v>55689.160884959994</v>
      </c>
      <c r="AK78" s="16">
        <v>106654.39063898998</v>
      </c>
      <c r="AL78" s="17">
        <v>156651.42951261002</v>
      </c>
    </row>
    <row r="79" spans="1:38" x14ac:dyDescent="0.2">
      <c r="A79" s="31" t="s">
        <v>91</v>
      </c>
      <c r="B79" s="10" t="s">
        <v>44</v>
      </c>
      <c r="C79" s="32"/>
      <c r="D79" s="32"/>
      <c r="E79" s="32"/>
      <c r="F79" s="33"/>
      <c r="G79" s="32"/>
      <c r="H79" s="32"/>
      <c r="I79" s="32"/>
      <c r="J79" s="33"/>
      <c r="K79" s="32"/>
      <c r="L79" s="32"/>
      <c r="M79" s="32"/>
      <c r="N79" s="33"/>
      <c r="O79" s="32"/>
      <c r="P79" s="32"/>
      <c r="Q79" s="32"/>
      <c r="R79" s="33"/>
      <c r="S79" s="32"/>
      <c r="T79" s="32"/>
      <c r="U79" s="32"/>
      <c r="V79" s="17">
        <v>128936.07676681998</v>
      </c>
      <c r="W79" s="16">
        <v>26820.017955509997</v>
      </c>
      <c r="X79" s="16">
        <v>57675.37414724</v>
      </c>
      <c r="Y79" s="16">
        <v>108307.48755323999</v>
      </c>
      <c r="Z79" s="17">
        <v>162813.99295415002</v>
      </c>
      <c r="AA79" s="16">
        <v>48325.822479539995</v>
      </c>
      <c r="AB79" s="16">
        <v>87681.912203339991</v>
      </c>
      <c r="AC79" s="16">
        <v>139813.87799581999</v>
      </c>
      <c r="AD79" s="17">
        <v>245475.45364194002</v>
      </c>
      <c r="AE79" s="16">
        <v>75974.365672179993</v>
      </c>
      <c r="AF79" s="16">
        <v>158947.75101118998</v>
      </c>
      <c r="AG79" s="16">
        <v>320215.09560197999</v>
      </c>
      <c r="AH79" s="17">
        <v>449356.81925808999</v>
      </c>
      <c r="AI79" s="16">
        <v>105411.55334934</v>
      </c>
      <c r="AJ79" s="16">
        <v>244201.64752803001</v>
      </c>
      <c r="AK79" s="16">
        <v>416996.67362665001</v>
      </c>
      <c r="AL79" s="17">
        <v>635230.87402780005</v>
      </c>
    </row>
    <row r="80" spans="1:38" x14ac:dyDescent="0.2">
      <c r="A80" s="13" t="s">
        <v>77</v>
      </c>
      <c r="B80" s="6" t="s">
        <v>44</v>
      </c>
      <c r="C80" s="24" t="s">
        <v>47</v>
      </c>
      <c r="D80" s="24" t="s">
        <v>47</v>
      </c>
      <c r="E80" s="24" t="s">
        <v>47</v>
      </c>
      <c r="F80" s="25" t="s">
        <v>47</v>
      </c>
      <c r="G80" s="24" t="s">
        <v>47</v>
      </c>
      <c r="H80" s="24" t="s">
        <v>47</v>
      </c>
      <c r="I80" s="24" t="s">
        <v>47</v>
      </c>
      <c r="J80" s="25" t="s">
        <v>47</v>
      </c>
      <c r="K80" s="24" t="s">
        <v>47</v>
      </c>
      <c r="L80" s="24" t="s">
        <v>47</v>
      </c>
      <c r="M80" s="24" t="s">
        <v>47</v>
      </c>
      <c r="N80" s="25" t="s">
        <v>47</v>
      </c>
      <c r="O80" s="24" t="s">
        <v>47</v>
      </c>
      <c r="P80" s="24" t="s">
        <v>47</v>
      </c>
      <c r="Q80" s="24" t="s">
        <v>47</v>
      </c>
      <c r="R80" s="25" t="s">
        <v>47</v>
      </c>
      <c r="S80" s="24" t="s">
        <v>47</v>
      </c>
      <c r="T80" s="24" t="s">
        <v>47</v>
      </c>
      <c r="U80" s="24" t="s">
        <v>47</v>
      </c>
      <c r="V80" s="25">
        <v>80454.723382369993</v>
      </c>
      <c r="W80" s="24">
        <v>13991.69054928</v>
      </c>
      <c r="X80" s="24">
        <v>28192.840664119998</v>
      </c>
      <c r="Y80" s="24">
        <v>51467.168981700001</v>
      </c>
      <c r="Z80" s="25">
        <v>83433.070158890012</v>
      </c>
      <c r="AA80" s="24">
        <v>18256.715095940002</v>
      </c>
      <c r="AB80" s="24">
        <v>36748.266533869995</v>
      </c>
      <c r="AC80" s="24">
        <v>61571.286297919993</v>
      </c>
      <c r="AD80" s="25">
        <v>135462.81191861001</v>
      </c>
      <c r="AE80" s="24">
        <v>46351.804920689996</v>
      </c>
      <c r="AF80" s="24">
        <v>92821.533973330006</v>
      </c>
      <c r="AG80" s="24">
        <v>215842.85396915002</v>
      </c>
      <c r="AH80" s="25">
        <v>303359.31291970005</v>
      </c>
      <c r="AI80" s="24">
        <v>56134.133935730002</v>
      </c>
      <c r="AJ80" s="24">
        <v>137142.13431634998</v>
      </c>
      <c r="AK80" s="24">
        <v>258338.82641643003</v>
      </c>
      <c r="AL80" s="25">
        <v>414337.35703948996</v>
      </c>
    </row>
    <row r="81" spans="1:38" x14ac:dyDescent="0.2">
      <c r="A81" s="13" t="s">
        <v>78</v>
      </c>
      <c r="B81" s="6" t="s">
        <v>44</v>
      </c>
      <c r="C81" s="24" t="s">
        <v>47</v>
      </c>
      <c r="D81" s="24" t="s">
        <v>47</v>
      </c>
      <c r="E81" s="24" t="s">
        <v>47</v>
      </c>
      <c r="F81" s="25" t="s">
        <v>47</v>
      </c>
      <c r="G81" s="24" t="s">
        <v>47</v>
      </c>
      <c r="H81" s="24" t="s">
        <v>47</v>
      </c>
      <c r="I81" s="24" t="s">
        <v>47</v>
      </c>
      <c r="J81" s="25" t="s">
        <v>47</v>
      </c>
      <c r="K81" s="24" t="s">
        <v>47</v>
      </c>
      <c r="L81" s="24" t="s">
        <v>47</v>
      </c>
      <c r="M81" s="24" t="s">
        <v>47</v>
      </c>
      <c r="N81" s="25" t="s">
        <v>47</v>
      </c>
      <c r="O81" s="24" t="s">
        <v>47</v>
      </c>
      <c r="P81" s="24" t="s">
        <v>47</v>
      </c>
      <c r="Q81" s="24" t="s">
        <v>47</v>
      </c>
      <c r="R81" s="25" t="s">
        <v>47</v>
      </c>
      <c r="S81" s="24" t="s">
        <v>47</v>
      </c>
      <c r="T81" s="24" t="s">
        <v>47</v>
      </c>
      <c r="U81" s="24" t="s">
        <v>47</v>
      </c>
      <c r="V81" s="25">
        <v>29009.286300119998</v>
      </c>
      <c r="W81" s="24">
        <v>7153.7557755099997</v>
      </c>
      <c r="X81" s="24">
        <v>17485.511834879999</v>
      </c>
      <c r="Y81" s="24">
        <v>29159.322967129996</v>
      </c>
      <c r="Z81" s="25">
        <v>42719.972616729996</v>
      </c>
      <c r="AA81" s="24">
        <v>12666.936246200003</v>
      </c>
      <c r="AB81" s="24">
        <v>27485.498531349996</v>
      </c>
      <c r="AC81" s="24">
        <v>42871.70880765</v>
      </c>
      <c r="AD81" s="25">
        <v>59435.759519020001</v>
      </c>
      <c r="AE81" s="24">
        <v>14345.336924089999</v>
      </c>
      <c r="AF81" s="24">
        <v>28376.969507229995</v>
      </c>
      <c r="AG81" s="24">
        <v>46623.320706220002</v>
      </c>
      <c r="AH81" s="25">
        <v>67297.130272220005</v>
      </c>
      <c r="AI81" s="24">
        <v>25149.530777720003</v>
      </c>
      <c r="AJ81" s="24">
        <v>53957.759585209991</v>
      </c>
      <c r="AK81" s="24">
        <v>73004.541385370001</v>
      </c>
      <c r="AL81" s="25">
        <v>97630.016271460016</v>
      </c>
    </row>
    <row r="82" spans="1:38" x14ac:dyDescent="0.2">
      <c r="A82" s="13" t="s">
        <v>79</v>
      </c>
      <c r="B82" s="6" t="s">
        <v>44</v>
      </c>
      <c r="C82" s="24" t="s">
        <v>47</v>
      </c>
      <c r="D82" s="24" t="s">
        <v>47</v>
      </c>
      <c r="E82" s="24" t="s">
        <v>47</v>
      </c>
      <c r="F82" s="25" t="s">
        <v>47</v>
      </c>
      <c r="G82" s="24" t="s">
        <v>47</v>
      </c>
      <c r="H82" s="24" t="s">
        <v>47</v>
      </c>
      <c r="I82" s="24" t="s">
        <v>47</v>
      </c>
      <c r="J82" s="25" t="s">
        <v>47</v>
      </c>
      <c r="K82" s="24" t="s">
        <v>47</v>
      </c>
      <c r="L82" s="24" t="s">
        <v>47</v>
      </c>
      <c r="M82" s="24" t="s">
        <v>47</v>
      </c>
      <c r="N82" s="25" t="s">
        <v>47</v>
      </c>
      <c r="O82" s="24" t="s">
        <v>47</v>
      </c>
      <c r="P82" s="24" t="s">
        <v>47</v>
      </c>
      <c r="Q82" s="24" t="s">
        <v>47</v>
      </c>
      <c r="R82" s="25" t="s">
        <v>47</v>
      </c>
      <c r="S82" s="24" t="s">
        <v>47</v>
      </c>
      <c r="T82" s="24" t="s">
        <v>47</v>
      </c>
      <c r="U82" s="24" t="s">
        <v>47</v>
      </c>
      <c r="V82" s="25">
        <v>3445.5057263200001</v>
      </c>
      <c r="W82" s="24">
        <v>752.34694582999998</v>
      </c>
      <c r="X82" s="24">
        <v>1868.0959620600001</v>
      </c>
      <c r="Y82" s="24">
        <v>3108.03465706</v>
      </c>
      <c r="Z82" s="25">
        <v>4549.8952543900004</v>
      </c>
      <c r="AA82" s="24">
        <v>1447.43122591</v>
      </c>
      <c r="AB82" s="24">
        <v>2957.3328439000002</v>
      </c>
      <c r="AC82" s="24">
        <v>4999.3262972799994</v>
      </c>
      <c r="AD82" s="25">
        <v>7245.5403072300005</v>
      </c>
      <c r="AE82" s="24">
        <v>2210.5536685799998</v>
      </c>
      <c r="AF82" s="24">
        <v>4444.9508940599999</v>
      </c>
      <c r="AG82" s="24">
        <v>7861.2541860299998</v>
      </c>
      <c r="AH82" s="25">
        <v>11574.04564176</v>
      </c>
      <c r="AI82" s="24">
        <v>4943.5315395000007</v>
      </c>
      <c r="AJ82" s="24">
        <v>10514.673016979999</v>
      </c>
      <c r="AK82" s="24">
        <v>15288.667857959999</v>
      </c>
      <c r="AL82" s="25">
        <v>20086.059596059997</v>
      </c>
    </row>
    <row r="83" spans="1:38" x14ac:dyDescent="0.2">
      <c r="A83" s="13" t="s">
        <v>80</v>
      </c>
      <c r="B83" s="6" t="s">
        <v>44</v>
      </c>
      <c r="C83" s="24" t="s">
        <v>47</v>
      </c>
      <c r="D83" s="24" t="s">
        <v>47</v>
      </c>
      <c r="E83" s="24" t="s">
        <v>47</v>
      </c>
      <c r="F83" s="25" t="s">
        <v>47</v>
      </c>
      <c r="G83" s="24" t="s">
        <v>47</v>
      </c>
      <c r="H83" s="24" t="s">
        <v>47</v>
      </c>
      <c r="I83" s="24" t="s">
        <v>47</v>
      </c>
      <c r="J83" s="25" t="s">
        <v>47</v>
      </c>
      <c r="K83" s="24" t="s">
        <v>47</v>
      </c>
      <c r="L83" s="24" t="s">
        <v>47</v>
      </c>
      <c r="M83" s="24" t="s">
        <v>47</v>
      </c>
      <c r="N83" s="25" t="s">
        <v>47</v>
      </c>
      <c r="O83" s="24" t="s">
        <v>47</v>
      </c>
      <c r="P83" s="24" t="s">
        <v>47</v>
      </c>
      <c r="Q83" s="24" t="s">
        <v>47</v>
      </c>
      <c r="R83" s="25" t="s">
        <v>47</v>
      </c>
      <c r="S83" s="24" t="s">
        <v>47</v>
      </c>
      <c r="T83" s="24" t="s">
        <v>47</v>
      </c>
      <c r="U83" s="24" t="s">
        <v>47</v>
      </c>
      <c r="V83" s="25">
        <v>1785.0324986700002</v>
      </c>
      <c r="W83" s="24">
        <v>782.8480022</v>
      </c>
      <c r="X83" s="24">
        <v>1650.8258511000001</v>
      </c>
      <c r="Y83" s="24">
        <v>2575.2203560099997</v>
      </c>
      <c r="Z83" s="25">
        <v>3639.8468995900002</v>
      </c>
      <c r="AA83" s="24">
        <v>795.9111569800001</v>
      </c>
      <c r="AB83" s="24">
        <v>2563.4025283199999</v>
      </c>
      <c r="AC83" s="24">
        <v>3834.22915491</v>
      </c>
      <c r="AD83" s="25">
        <v>5209.6580076</v>
      </c>
      <c r="AE83" s="24">
        <v>1432.8641687900001</v>
      </c>
      <c r="AF83" s="24">
        <v>2871.4625488799998</v>
      </c>
      <c r="AG83" s="24">
        <v>5083.2266662500006</v>
      </c>
      <c r="AH83" s="25">
        <v>7170.4985988799999</v>
      </c>
      <c r="AI83" s="24">
        <v>3893.7578104300001</v>
      </c>
      <c r="AJ83" s="24">
        <v>8128.0215846100009</v>
      </c>
      <c r="AK83" s="24">
        <v>13347.192765509999</v>
      </c>
      <c r="AL83" s="25">
        <v>17499.58439226</v>
      </c>
    </row>
    <row r="84" spans="1:38" x14ac:dyDescent="0.2">
      <c r="A84" s="13" t="s">
        <v>81</v>
      </c>
      <c r="B84" s="6" t="s">
        <v>44</v>
      </c>
      <c r="C84" s="24" t="s">
        <v>47</v>
      </c>
      <c r="D84" s="24" t="s">
        <v>47</v>
      </c>
      <c r="E84" s="24" t="s">
        <v>47</v>
      </c>
      <c r="F84" s="25" t="s">
        <v>47</v>
      </c>
      <c r="G84" s="24" t="s">
        <v>47</v>
      </c>
      <c r="H84" s="24" t="s">
        <v>47</v>
      </c>
      <c r="I84" s="24" t="s">
        <v>47</v>
      </c>
      <c r="J84" s="25" t="s">
        <v>47</v>
      </c>
      <c r="K84" s="24" t="s">
        <v>47</v>
      </c>
      <c r="L84" s="24" t="s">
        <v>47</v>
      </c>
      <c r="M84" s="24" t="s">
        <v>47</v>
      </c>
      <c r="N84" s="25" t="s">
        <v>47</v>
      </c>
      <c r="O84" s="24" t="s">
        <v>47</v>
      </c>
      <c r="P84" s="24" t="s">
        <v>47</v>
      </c>
      <c r="Q84" s="24" t="s">
        <v>47</v>
      </c>
      <c r="R84" s="25" t="s">
        <v>47</v>
      </c>
      <c r="S84" s="24" t="s">
        <v>47</v>
      </c>
      <c r="T84" s="24" t="s">
        <v>47</v>
      </c>
      <c r="U84" s="24" t="s">
        <v>47</v>
      </c>
      <c r="V84" s="25">
        <v>824.48725065999997</v>
      </c>
      <c r="W84" s="24">
        <v>141.98326252000001</v>
      </c>
      <c r="X84" s="24">
        <v>459.78441232999995</v>
      </c>
      <c r="Y84" s="24">
        <v>819.46295047000001</v>
      </c>
      <c r="Z84" s="25">
        <v>1209.3379008700001</v>
      </c>
      <c r="AA84" s="24">
        <v>269.19745785000009</v>
      </c>
      <c r="AB84" s="24">
        <v>503.41308255000007</v>
      </c>
      <c r="AC84" s="24">
        <v>767.95073034000006</v>
      </c>
      <c r="AD84" s="25">
        <v>1139.88417912</v>
      </c>
      <c r="AE84" s="24">
        <v>265.68984788999995</v>
      </c>
      <c r="AF84" s="24">
        <v>534.20112116000007</v>
      </c>
      <c r="AG84" s="24">
        <v>981.10634949000007</v>
      </c>
      <c r="AH84" s="25">
        <v>1558.3937956599998</v>
      </c>
      <c r="AI84" s="24">
        <v>1217.72344039</v>
      </c>
      <c r="AJ84" s="24">
        <v>2544.3388852999997</v>
      </c>
      <c r="AK84" s="24">
        <v>4364.9002952700002</v>
      </c>
      <c r="AL84" s="25">
        <v>6285.3264663600003</v>
      </c>
    </row>
    <row r="85" spans="1:38" x14ac:dyDescent="0.2">
      <c r="A85" s="13" t="s">
        <v>82</v>
      </c>
      <c r="B85" s="6" t="s">
        <v>44</v>
      </c>
      <c r="C85" s="24" t="s">
        <v>47</v>
      </c>
      <c r="D85" s="24" t="s">
        <v>47</v>
      </c>
      <c r="E85" s="24" t="s">
        <v>47</v>
      </c>
      <c r="F85" s="25" t="s">
        <v>47</v>
      </c>
      <c r="G85" s="24" t="s">
        <v>47</v>
      </c>
      <c r="H85" s="24" t="s">
        <v>47</v>
      </c>
      <c r="I85" s="24" t="s">
        <v>47</v>
      </c>
      <c r="J85" s="25" t="s">
        <v>47</v>
      </c>
      <c r="K85" s="24" t="s">
        <v>47</v>
      </c>
      <c r="L85" s="24" t="s">
        <v>47</v>
      </c>
      <c r="M85" s="24" t="s">
        <v>47</v>
      </c>
      <c r="N85" s="25" t="s">
        <v>47</v>
      </c>
      <c r="O85" s="24" t="s">
        <v>47</v>
      </c>
      <c r="P85" s="24" t="s">
        <v>47</v>
      </c>
      <c r="Q85" s="24" t="s">
        <v>47</v>
      </c>
      <c r="R85" s="25" t="s">
        <v>47</v>
      </c>
      <c r="S85" s="24" t="s">
        <v>47</v>
      </c>
      <c r="T85" s="24" t="s">
        <v>47</v>
      </c>
      <c r="U85" s="24" t="s">
        <v>47</v>
      </c>
      <c r="V85" s="24">
        <v>13417.041608679992</v>
      </c>
      <c r="W85" s="24">
        <v>3997.3934201699972</v>
      </c>
      <c r="X85" s="24">
        <v>8018.3154227500017</v>
      </c>
      <c r="Y85" s="24">
        <v>21178.277640869994</v>
      </c>
      <c r="Z85" s="24">
        <v>27261.870123680008</v>
      </c>
      <c r="AA85" s="24">
        <v>14889.631296659989</v>
      </c>
      <c r="AB85" s="24">
        <v>17423.998683350001</v>
      </c>
      <c r="AC85" s="24">
        <v>25769.376707720003</v>
      </c>
      <c r="AD85" s="24">
        <v>36981.799710360006</v>
      </c>
      <c r="AE85" s="24">
        <v>11368.116142139997</v>
      </c>
      <c r="AF85" s="24">
        <v>29898.632966529975</v>
      </c>
      <c r="AG85" s="24">
        <v>43823.333724839977</v>
      </c>
      <c r="AH85" s="25">
        <v>58397.43802986994</v>
      </c>
      <c r="AI85" s="24">
        <v>14072.875845569994</v>
      </c>
      <c r="AJ85" s="24">
        <v>31914.720139580029</v>
      </c>
      <c r="AK85" s="24">
        <v>52652.544906109972</v>
      </c>
      <c r="AL85" s="25">
        <v>79392.530262170083</v>
      </c>
    </row>
    <row r="86" spans="1:38" x14ac:dyDescent="0.2">
      <c r="A86" s="31" t="s">
        <v>92</v>
      </c>
      <c r="B86" s="10" t="s">
        <v>44</v>
      </c>
      <c r="C86" s="16" t="s">
        <v>47</v>
      </c>
      <c r="D86" s="16" t="s">
        <v>47</v>
      </c>
      <c r="E86" s="16" t="s">
        <v>47</v>
      </c>
      <c r="F86" s="16" t="s">
        <v>47</v>
      </c>
      <c r="G86" s="16" t="s">
        <v>47</v>
      </c>
      <c r="H86" s="16" t="s">
        <v>47</v>
      </c>
      <c r="I86" s="16" t="s">
        <v>47</v>
      </c>
      <c r="J86" s="16" t="s">
        <v>47</v>
      </c>
      <c r="K86" s="16" t="s">
        <v>47</v>
      </c>
      <c r="L86" s="16" t="s">
        <v>47</v>
      </c>
      <c r="M86" s="16" t="s">
        <v>47</v>
      </c>
      <c r="N86" s="16" t="s">
        <v>47</v>
      </c>
      <c r="O86" s="16" t="s">
        <v>47</v>
      </c>
      <c r="P86" s="16" t="s">
        <v>47</v>
      </c>
      <c r="Q86" s="16" t="s">
        <v>47</v>
      </c>
      <c r="R86" s="16" t="s">
        <v>47</v>
      </c>
      <c r="S86" s="16" t="s">
        <v>47</v>
      </c>
      <c r="T86" s="16" t="s">
        <v>47</v>
      </c>
      <c r="U86" s="16" t="s">
        <v>47</v>
      </c>
      <c r="V86" s="17">
        <v>8524.3718023700003</v>
      </c>
      <c r="W86" s="16">
        <v>1936.9554386899999</v>
      </c>
      <c r="X86" s="16">
        <v>4469.8055462699995</v>
      </c>
      <c r="Y86" s="16">
        <v>8048.8340356300005</v>
      </c>
      <c r="Z86" s="17">
        <v>11488.588937650002</v>
      </c>
      <c r="AA86" s="16">
        <v>4886.5447285599994</v>
      </c>
      <c r="AB86" s="16">
        <v>7258.723802479999</v>
      </c>
      <c r="AC86" s="16">
        <v>11700.521895010001</v>
      </c>
      <c r="AD86" s="17">
        <v>44301.734279519995</v>
      </c>
      <c r="AE86" s="16">
        <v>6548.7013566500009</v>
      </c>
      <c r="AF86" s="16">
        <v>12793.967195409998</v>
      </c>
      <c r="AG86" s="16">
        <v>43210.916080169991</v>
      </c>
      <c r="AH86" s="17">
        <v>55820.258434699987</v>
      </c>
      <c r="AI86" s="16">
        <v>10884.544082319999</v>
      </c>
      <c r="AJ86" s="16">
        <v>24053.556445139999</v>
      </c>
      <c r="AK86" s="16">
        <v>39782.305015099999</v>
      </c>
      <c r="AL86" s="17">
        <v>54672.461184830005</v>
      </c>
    </row>
    <row r="87" spans="1:38" x14ac:dyDescent="0.2">
      <c r="A87" s="13" t="s">
        <v>93</v>
      </c>
      <c r="B87" s="6" t="s">
        <v>44</v>
      </c>
      <c r="C87" s="24" t="s">
        <v>47</v>
      </c>
      <c r="D87" s="24" t="s">
        <v>47</v>
      </c>
      <c r="E87" s="24" t="s">
        <v>47</v>
      </c>
      <c r="F87" s="24" t="s">
        <v>47</v>
      </c>
      <c r="G87" s="24" t="s">
        <v>47</v>
      </c>
      <c r="H87" s="24" t="s">
        <v>47</v>
      </c>
      <c r="I87" s="24" t="s">
        <v>47</v>
      </c>
      <c r="J87" s="24" t="s">
        <v>47</v>
      </c>
      <c r="K87" s="24" t="s">
        <v>47</v>
      </c>
      <c r="L87" s="24" t="s">
        <v>47</v>
      </c>
      <c r="M87" s="24" t="s">
        <v>47</v>
      </c>
      <c r="N87" s="24" t="s">
        <v>47</v>
      </c>
      <c r="O87" s="24" t="s">
        <v>47</v>
      </c>
      <c r="P87" s="24" t="s">
        <v>47</v>
      </c>
      <c r="Q87" s="24" t="s">
        <v>47</v>
      </c>
      <c r="R87" s="24" t="s">
        <v>47</v>
      </c>
      <c r="S87" s="24" t="s">
        <v>47</v>
      </c>
      <c r="T87" s="24" t="s">
        <v>47</v>
      </c>
      <c r="U87" s="24" t="s">
        <v>47</v>
      </c>
      <c r="V87" s="25">
        <v>1598.3424259899998</v>
      </c>
      <c r="W87" s="24">
        <v>274.77560462000002</v>
      </c>
      <c r="X87" s="24">
        <v>725.32330817000002</v>
      </c>
      <c r="Y87" s="24">
        <v>1314.5523784500001</v>
      </c>
      <c r="Z87" s="25">
        <v>1871.9946862000002</v>
      </c>
      <c r="AA87" s="24">
        <v>956.49213439000005</v>
      </c>
      <c r="AB87" s="24">
        <v>956.75673403000008</v>
      </c>
      <c r="AC87" s="24">
        <v>1816.9105796699998</v>
      </c>
      <c r="AD87" s="25">
        <v>30139.073343570006</v>
      </c>
      <c r="AE87" s="24">
        <v>3037.4546913700001</v>
      </c>
      <c r="AF87" s="24">
        <v>5546.9026368599998</v>
      </c>
      <c r="AG87" s="24">
        <v>30465.638044740001</v>
      </c>
      <c r="AH87" s="25">
        <v>36969.969528970003</v>
      </c>
      <c r="AI87" s="24">
        <v>2591.0942937199998</v>
      </c>
      <c r="AJ87" s="24">
        <v>6077.5655766200007</v>
      </c>
      <c r="AK87" s="24">
        <v>9970.675265240001</v>
      </c>
      <c r="AL87" s="25">
        <v>14662.842249380001</v>
      </c>
    </row>
    <row r="88" spans="1:38" x14ac:dyDescent="0.2">
      <c r="A88" s="13" t="s">
        <v>85</v>
      </c>
      <c r="B88" s="6" t="s">
        <v>44</v>
      </c>
      <c r="C88" s="24" t="s">
        <v>47</v>
      </c>
      <c r="D88" s="24" t="s">
        <v>47</v>
      </c>
      <c r="E88" s="24" t="s">
        <v>47</v>
      </c>
      <c r="F88" s="24" t="s">
        <v>47</v>
      </c>
      <c r="G88" s="24" t="s">
        <v>47</v>
      </c>
      <c r="H88" s="24" t="s">
        <v>47</v>
      </c>
      <c r="I88" s="24" t="s">
        <v>47</v>
      </c>
      <c r="J88" s="24" t="s">
        <v>47</v>
      </c>
      <c r="K88" s="24" t="s">
        <v>47</v>
      </c>
      <c r="L88" s="24" t="s">
        <v>47</v>
      </c>
      <c r="M88" s="24" t="s">
        <v>47</v>
      </c>
      <c r="N88" s="24" t="s">
        <v>47</v>
      </c>
      <c r="O88" s="24" t="s">
        <v>47</v>
      </c>
      <c r="P88" s="24" t="s">
        <v>47</v>
      </c>
      <c r="Q88" s="24" t="s">
        <v>47</v>
      </c>
      <c r="R88" s="24" t="s">
        <v>47</v>
      </c>
      <c r="S88" s="24" t="s">
        <v>47</v>
      </c>
      <c r="T88" s="24" t="s">
        <v>47</v>
      </c>
      <c r="U88" s="24" t="s">
        <v>47</v>
      </c>
      <c r="V88" s="25">
        <v>3136.9289347600002</v>
      </c>
      <c r="W88" s="24">
        <v>767.68796478999991</v>
      </c>
      <c r="X88" s="24">
        <v>1876.9922024100001</v>
      </c>
      <c r="Y88" s="24">
        <v>3098.8906065900001</v>
      </c>
      <c r="Z88" s="25">
        <v>4517.4397702699998</v>
      </c>
      <c r="AA88" s="24">
        <v>1275.9961075200001</v>
      </c>
      <c r="AB88" s="24">
        <v>2902.13121611</v>
      </c>
      <c r="AC88" s="24">
        <v>4709.6829788800005</v>
      </c>
      <c r="AD88" s="25">
        <v>6714.3030189599995</v>
      </c>
      <c r="AE88" s="24">
        <v>1598.1511261699998</v>
      </c>
      <c r="AF88" s="24">
        <v>3026.9658392300003</v>
      </c>
      <c r="AG88" s="24">
        <v>5271.0826275600011</v>
      </c>
      <c r="AH88" s="25">
        <v>7973.8264819099995</v>
      </c>
      <c r="AI88" s="24">
        <v>3423.3028889300003</v>
      </c>
      <c r="AJ88" s="24">
        <v>7386.3702467699995</v>
      </c>
      <c r="AK88" s="24">
        <v>10968.54571943</v>
      </c>
      <c r="AL88" s="25">
        <v>14709.23667762</v>
      </c>
    </row>
    <row r="89" spans="1:38" x14ac:dyDescent="0.2">
      <c r="A89" s="13" t="s">
        <v>86</v>
      </c>
      <c r="B89" s="6" t="s">
        <v>44</v>
      </c>
      <c r="C89" s="24" t="s">
        <v>47</v>
      </c>
      <c r="D89" s="24" t="s">
        <v>47</v>
      </c>
      <c r="E89" s="24" t="s">
        <v>47</v>
      </c>
      <c r="F89" s="25" t="s">
        <v>47</v>
      </c>
      <c r="G89" s="24" t="s">
        <v>47</v>
      </c>
      <c r="H89" s="24" t="s">
        <v>47</v>
      </c>
      <c r="I89" s="24" t="s">
        <v>47</v>
      </c>
      <c r="J89" s="25" t="s">
        <v>47</v>
      </c>
      <c r="K89" s="24" t="s">
        <v>47</v>
      </c>
      <c r="L89" s="24" t="s">
        <v>47</v>
      </c>
      <c r="M89" s="24" t="s">
        <v>47</v>
      </c>
      <c r="N89" s="25" t="s">
        <v>47</v>
      </c>
      <c r="O89" s="24" t="s">
        <v>47</v>
      </c>
      <c r="P89" s="24" t="s">
        <v>47</v>
      </c>
      <c r="Q89" s="24" t="s">
        <v>47</v>
      </c>
      <c r="R89" s="25" t="s">
        <v>47</v>
      </c>
      <c r="S89" s="24" t="s">
        <v>47</v>
      </c>
      <c r="T89" s="24" t="s">
        <v>47</v>
      </c>
      <c r="U89" s="24" t="s">
        <v>47</v>
      </c>
      <c r="V89" s="25">
        <v>652.72054625999999</v>
      </c>
      <c r="W89" s="24">
        <v>116.49515572999999</v>
      </c>
      <c r="X89" s="24">
        <v>295.55754338999998</v>
      </c>
      <c r="Y89" s="24">
        <v>493.45969843</v>
      </c>
      <c r="Z89" s="25">
        <v>713.10849875000008</v>
      </c>
      <c r="AA89" s="24">
        <v>207.83593153000001</v>
      </c>
      <c r="AB89" s="24">
        <v>457.33653313000002</v>
      </c>
      <c r="AC89" s="24">
        <v>788.08104478999996</v>
      </c>
      <c r="AD89" s="25">
        <v>1171.60324313</v>
      </c>
      <c r="AE89" s="24">
        <v>348.83059380999998</v>
      </c>
      <c r="AF89" s="24">
        <v>679.32524955999986</v>
      </c>
      <c r="AG89" s="24">
        <v>1288.4691724100001</v>
      </c>
      <c r="AH89" s="25">
        <v>2033.0044478899999</v>
      </c>
      <c r="AI89" s="24">
        <v>990.20904668000003</v>
      </c>
      <c r="AJ89" s="24">
        <v>2312.4534242199998</v>
      </c>
      <c r="AK89" s="24">
        <v>3387.07275213</v>
      </c>
      <c r="AL89" s="25">
        <v>4536.710983089999</v>
      </c>
    </row>
    <row r="90" spans="1:38" x14ac:dyDescent="0.2">
      <c r="A90" s="13" t="s">
        <v>87</v>
      </c>
      <c r="B90" s="6" t="s">
        <v>44</v>
      </c>
      <c r="C90" s="24" t="s">
        <v>47</v>
      </c>
      <c r="D90" s="24" t="s">
        <v>47</v>
      </c>
      <c r="E90" s="24" t="s">
        <v>47</v>
      </c>
      <c r="F90" s="24" t="s">
        <v>47</v>
      </c>
      <c r="G90" s="24" t="s">
        <v>47</v>
      </c>
      <c r="H90" s="24" t="s">
        <v>47</v>
      </c>
      <c r="I90" s="24" t="s">
        <v>47</v>
      </c>
      <c r="J90" s="24" t="s">
        <v>47</v>
      </c>
      <c r="K90" s="24" t="s">
        <v>47</v>
      </c>
      <c r="L90" s="24" t="s">
        <v>47</v>
      </c>
      <c r="M90" s="24" t="s">
        <v>47</v>
      </c>
      <c r="N90" s="24" t="s">
        <v>47</v>
      </c>
      <c r="O90" s="24" t="s">
        <v>47</v>
      </c>
      <c r="P90" s="24" t="s">
        <v>47</v>
      </c>
      <c r="Q90" s="24" t="s">
        <v>47</v>
      </c>
      <c r="R90" s="24" t="s">
        <v>47</v>
      </c>
      <c r="S90" s="24" t="s">
        <v>47</v>
      </c>
      <c r="T90" s="24" t="s">
        <v>47</v>
      </c>
      <c r="U90" s="24" t="s">
        <v>47</v>
      </c>
      <c r="V90" s="25">
        <v>0</v>
      </c>
      <c r="W90" s="24">
        <v>0</v>
      </c>
      <c r="X90" s="24">
        <v>0</v>
      </c>
      <c r="Y90" s="24">
        <v>486.62185620000002</v>
      </c>
      <c r="Z90" s="25">
        <v>664.50356305999992</v>
      </c>
      <c r="AA90" s="24">
        <v>178.15918162</v>
      </c>
      <c r="AB90" s="24">
        <v>376.77003999999999</v>
      </c>
      <c r="AC90" s="24">
        <v>609.95344983999996</v>
      </c>
      <c r="AD90" s="25">
        <v>913.08093682000003</v>
      </c>
      <c r="AE90" s="24">
        <v>256.37752838</v>
      </c>
      <c r="AF90" s="24">
        <v>568.11256307000008</v>
      </c>
      <c r="AG90" s="24">
        <v>1326.6302109200001</v>
      </c>
      <c r="AH90" s="25">
        <v>2031.59740007</v>
      </c>
      <c r="AI90" s="24">
        <v>901.21516065999992</v>
      </c>
      <c r="AJ90" s="24">
        <v>1899.0845208700002</v>
      </c>
      <c r="AK90" s="24">
        <v>3127.9299795199995</v>
      </c>
      <c r="AL90" s="25">
        <v>4161.8230745299998</v>
      </c>
    </row>
    <row r="91" spans="1:38" x14ac:dyDescent="0.2">
      <c r="A91" s="13" t="s">
        <v>88</v>
      </c>
      <c r="B91" s="6" t="s">
        <v>44</v>
      </c>
      <c r="C91" s="24" t="s">
        <v>47</v>
      </c>
      <c r="D91" s="24" t="s">
        <v>47</v>
      </c>
      <c r="E91" s="24" t="s">
        <v>47</v>
      </c>
      <c r="F91" s="24" t="s">
        <v>47</v>
      </c>
      <c r="G91" s="24" t="s">
        <v>47</v>
      </c>
      <c r="H91" s="24" t="s">
        <v>47</v>
      </c>
      <c r="I91" s="24" t="s">
        <v>47</v>
      </c>
      <c r="J91" s="24" t="s">
        <v>47</v>
      </c>
      <c r="K91" s="24" t="s">
        <v>47</v>
      </c>
      <c r="L91" s="24" t="s">
        <v>47</v>
      </c>
      <c r="M91" s="24" t="s">
        <v>47</v>
      </c>
      <c r="N91" s="24" t="s">
        <v>47</v>
      </c>
      <c r="O91" s="24" t="s">
        <v>47</v>
      </c>
      <c r="P91" s="24" t="s">
        <v>47</v>
      </c>
      <c r="Q91" s="24" t="s">
        <v>47</v>
      </c>
      <c r="R91" s="24" t="s">
        <v>47</v>
      </c>
      <c r="S91" s="24" t="s">
        <v>47</v>
      </c>
      <c r="T91" s="24" t="s">
        <v>47</v>
      </c>
      <c r="U91" s="24" t="s">
        <v>47</v>
      </c>
      <c r="V91" s="25">
        <v>98.742976529999993</v>
      </c>
      <c r="W91" s="24">
        <v>9.7862775100000015</v>
      </c>
      <c r="X91" s="24">
        <v>29.51330166</v>
      </c>
      <c r="Y91" s="24">
        <v>53.475634429999999</v>
      </c>
      <c r="Z91" s="25">
        <v>90.881838340000002</v>
      </c>
      <c r="AA91" s="24">
        <v>23.212886610000002</v>
      </c>
      <c r="AB91" s="24">
        <v>42.903072529999996</v>
      </c>
      <c r="AC91" s="24">
        <v>66.487917459999991</v>
      </c>
      <c r="AD91" s="25">
        <v>102.75869237000001</v>
      </c>
      <c r="AE91" s="24">
        <v>30.062005660000004</v>
      </c>
      <c r="AF91" s="24">
        <v>48.831164350000002</v>
      </c>
      <c r="AG91" s="24">
        <v>118.42314537999999</v>
      </c>
      <c r="AH91" s="25">
        <v>205.22507905999998</v>
      </c>
      <c r="AI91" s="24">
        <v>651.83502856999996</v>
      </c>
      <c r="AJ91" s="24">
        <v>1192.4109596200001</v>
      </c>
      <c r="AK91" s="24">
        <v>1728.4014267299999</v>
      </c>
      <c r="AL91" s="25">
        <v>2318.7162869600002</v>
      </c>
    </row>
    <row r="92" spans="1:38" x14ac:dyDescent="0.2">
      <c r="A92" s="13" t="s">
        <v>89</v>
      </c>
      <c r="B92" s="6" t="s">
        <v>44</v>
      </c>
      <c r="C92" s="24" t="s">
        <v>47</v>
      </c>
      <c r="D92" s="24" t="s">
        <v>47</v>
      </c>
      <c r="E92" s="24" t="s">
        <v>47</v>
      </c>
      <c r="F92" s="24" t="s">
        <v>47</v>
      </c>
      <c r="G92" s="24" t="s">
        <v>47</v>
      </c>
      <c r="H92" s="24" t="s">
        <v>47</v>
      </c>
      <c r="I92" s="24" t="s">
        <v>47</v>
      </c>
      <c r="J92" s="24" t="s">
        <v>47</v>
      </c>
      <c r="K92" s="24" t="s">
        <v>47</v>
      </c>
      <c r="L92" s="24" t="s">
        <v>47</v>
      </c>
      <c r="M92" s="24" t="s">
        <v>47</v>
      </c>
      <c r="N92" s="24" t="s">
        <v>47</v>
      </c>
      <c r="O92" s="24" t="s">
        <v>47</v>
      </c>
      <c r="P92" s="24" t="s">
        <v>47</v>
      </c>
      <c r="Q92" s="24" t="s">
        <v>47</v>
      </c>
      <c r="R92" s="24" t="s">
        <v>47</v>
      </c>
      <c r="S92" s="24" t="s">
        <v>47</v>
      </c>
      <c r="T92" s="24" t="s">
        <v>47</v>
      </c>
      <c r="U92" s="24" t="s">
        <v>47</v>
      </c>
      <c r="V92" s="24">
        <v>3037.63691883</v>
      </c>
      <c r="W92" s="24">
        <v>768.2104360400001</v>
      </c>
      <c r="X92" s="24">
        <v>1542.4191906399994</v>
      </c>
      <c r="Y92" s="24">
        <v>2601.8338615300004</v>
      </c>
      <c r="Z92" s="24">
        <v>3630.6605810300025</v>
      </c>
      <c r="AA92" s="24">
        <v>2244.8484868899991</v>
      </c>
      <c r="AB92" s="24">
        <v>2522.8262066799989</v>
      </c>
      <c r="AC92" s="24">
        <v>3709.4059243699994</v>
      </c>
      <c r="AD92" s="24">
        <v>5260.9150446699896</v>
      </c>
      <c r="AE92" s="24">
        <v>1277.8254112600009</v>
      </c>
      <c r="AF92" s="24">
        <v>2923.8297423399981</v>
      </c>
      <c r="AG92" s="24">
        <v>4740.672879159989</v>
      </c>
      <c r="AH92" s="25">
        <v>6606.6354967999832</v>
      </c>
      <c r="AI92" s="24">
        <v>2326.8876637599988</v>
      </c>
      <c r="AJ92" s="24">
        <v>5185.6717170400007</v>
      </c>
      <c r="AK92" s="24">
        <v>10599.679872049997</v>
      </c>
      <c r="AL92" s="25">
        <v>14283.131913250003</v>
      </c>
    </row>
    <row r="93" spans="1:38" x14ac:dyDescent="0.2">
      <c r="A93" s="9" t="s">
        <v>94</v>
      </c>
      <c r="B93" s="10" t="s">
        <v>44</v>
      </c>
      <c r="C93" s="16">
        <v>123507.061</v>
      </c>
      <c r="D93" s="16">
        <v>274312.36499999999</v>
      </c>
      <c r="E93" s="16">
        <v>395526.97399999999</v>
      </c>
      <c r="F93" s="17">
        <v>509722.12599999999</v>
      </c>
      <c r="G93" s="16">
        <v>109098.90084011</v>
      </c>
      <c r="H93" s="16">
        <v>235780.98290747</v>
      </c>
      <c r="I93" s="16">
        <v>368975.10898639</v>
      </c>
      <c r="J93" s="17">
        <v>522468.01192551001</v>
      </c>
      <c r="K93" s="16">
        <v>139216.12352281</v>
      </c>
      <c r="L93" s="16">
        <v>285593.95953955001</v>
      </c>
      <c r="M93" s="16">
        <v>433540.57671371003</v>
      </c>
      <c r="N93" s="17">
        <v>610865.41961097007</v>
      </c>
      <c r="O93" s="16">
        <v>159475.74463181</v>
      </c>
      <c r="P93" s="16">
        <v>296702.55161723</v>
      </c>
      <c r="Q93" s="16">
        <v>464690.56829203997</v>
      </c>
      <c r="R93" s="17">
        <v>658485.52467759</v>
      </c>
      <c r="S93" s="16">
        <v>185252.35432153</v>
      </c>
      <c r="T93" s="16">
        <v>384490.14827372</v>
      </c>
      <c r="U93" s="16">
        <v>587498.80146872997</v>
      </c>
      <c r="V93" s="17">
        <v>796973.85236531985</v>
      </c>
      <c r="W93" s="16">
        <v>201348.37111204996</v>
      </c>
      <c r="X93" s="16">
        <v>422681.4676670701</v>
      </c>
      <c r="Y93" s="16">
        <v>646892.90327062004</v>
      </c>
      <c r="Z93" s="17">
        <v>893218.78022836009</v>
      </c>
      <c r="AA93" s="16">
        <v>245352.89104705004</v>
      </c>
      <c r="AB93" s="16">
        <v>494585.62099726009</v>
      </c>
      <c r="AC93" s="16">
        <v>758868.09427267988</v>
      </c>
      <c r="AD93" s="17">
        <v>1044382.85031867</v>
      </c>
      <c r="AE93" s="16">
        <v>272023.74156643002</v>
      </c>
      <c r="AF93" s="16">
        <v>583714.74156003015</v>
      </c>
      <c r="AG93" s="16">
        <v>1025707.2886465099</v>
      </c>
      <c r="AH93" s="17">
        <v>2148809.8721785597</v>
      </c>
      <c r="AI93" s="16">
        <v>602507.94226221996</v>
      </c>
      <c r="AJ93" s="16">
        <v>1158910.5377671802</v>
      </c>
      <c r="AK93" s="16">
        <v>1767711.4036501499</v>
      </c>
      <c r="AL93" s="17">
        <v>2548719.4260199098</v>
      </c>
    </row>
    <row r="94" spans="1:38" x14ac:dyDescent="0.2">
      <c r="A94" s="18" t="s">
        <v>45</v>
      </c>
      <c r="B94" s="19" t="s">
        <v>44</v>
      </c>
      <c r="C94" s="20">
        <v>7788.9040000000005</v>
      </c>
      <c r="D94" s="20">
        <v>17125.596000000001</v>
      </c>
      <c r="E94" s="20">
        <v>26196.733</v>
      </c>
      <c r="F94" s="21">
        <v>36486.836000000003</v>
      </c>
      <c r="G94" s="20">
        <v>10676.08020484</v>
      </c>
      <c r="H94" s="20">
        <v>25636.139474739997</v>
      </c>
      <c r="I94" s="20">
        <v>44599.849029149998</v>
      </c>
      <c r="J94" s="21">
        <v>67070.481612999996</v>
      </c>
      <c r="K94" s="20">
        <v>24077.1210068</v>
      </c>
      <c r="L94" s="20">
        <v>51457.960483949995</v>
      </c>
      <c r="M94" s="20">
        <v>88399.029993770004</v>
      </c>
      <c r="N94" s="21">
        <v>133402.65736426</v>
      </c>
      <c r="O94" s="20">
        <v>43010.190396450002</v>
      </c>
      <c r="P94" s="20">
        <v>85700.706043689992</v>
      </c>
      <c r="Q94" s="20">
        <v>143531.04544469999</v>
      </c>
      <c r="R94" s="21">
        <v>204495.68687437</v>
      </c>
      <c r="S94" s="20">
        <v>70121.823344980003</v>
      </c>
      <c r="T94" s="20">
        <v>137794.05973614001</v>
      </c>
      <c r="U94" s="20">
        <v>210913.26244865998</v>
      </c>
      <c r="V94" s="21">
        <v>288328.59774344997</v>
      </c>
      <c r="W94" s="20">
        <v>74991.215858319993</v>
      </c>
      <c r="X94" s="20">
        <v>161018.56904887999</v>
      </c>
      <c r="Y94" s="20">
        <v>253178.54535986</v>
      </c>
      <c r="Z94" s="21">
        <v>352200.50776141003</v>
      </c>
      <c r="AA94" s="20">
        <v>115845.93196765</v>
      </c>
      <c r="AB94" s="20">
        <v>225139.78641921</v>
      </c>
      <c r="AC94" s="20">
        <v>342018.97661209997</v>
      </c>
      <c r="AD94" s="21">
        <v>469130.99465816002</v>
      </c>
      <c r="AE94" s="20">
        <v>113878.20265041002</v>
      </c>
      <c r="AF94" s="20">
        <v>251303.86242034999</v>
      </c>
      <c r="AG94" s="20">
        <v>499941.30697675998</v>
      </c>
      <c r="AH94" s="21">
        <v>1412059.0321161302</v>
      </c>
      <c r="AI94" s="20">
        <v>403153.04170544998</v>
      </c>
      <c r="AJ94" s="20">
        <v>739684.12378260994</v>
      </c>
      <c r="AK94" s="20">
        <v>1130723.2422751298</v>
      </c>
      <c r="AL94" s="21">
        <v>1662755.2973172895</v>
      </c>
    </row>
    <row r="95" spans="1:38" x14ac:dyDescent="0.2">
      <c r="A95" s="13" t="s">
        <v>46</v>
      </c>
      <c r="B95" s="6" t="s">
        <v>44</v>
      </c>
      <c r="C95" s="22" t="s">
        <v>47</v>
      </c>
      <c r="D95" s="22" t="s">
        <v>47</v>
      </c>
      <c r="E95" s="22" t="s">
        <v>47</v>
      </c>
      <c r="F95" s="23" t="s">
        <v>47</v>
      </c>
      <c r="G95" s="22" t="s">
        <v>47</v>
      </c>
      <c r="H95" s="22" t="s">
        <v>47</v>
      </c>
      <c r="I95" s="22" t="s">
        <v>47</v>
      </c>
      <c r="J95" s="23" t="s">
        <v>47</v>
      </c>
      <c r="K95" s="22" t="s">
        <v>47</v>
      </c>
      <c r="L95" s="24">
        <v>34724.368409819996</v>
      </c>
      <c r="M95" s="24">
        <v>62816.022588990003</v>
      </c>
      <c r="N95" s="25">
        <v>94986.984753059995</v>
      </c>
      <c r="O95" s="24">
        <v>34864.217913699998</v>
      </c>
      <c r="P95" s="24">
        <v>67904.411779660004</v>
      </c>
      <c r="Q95" s="24">
        <v>114611.23112785</v>
      </c>
      <c r="R95" s="25">
        <v>163518.52099193001</v>
      </c>
      <c r="S95" s="24">
        <v>58197.924466980003</v>
      </c>
      <c r="T95" s="22">
        <v>111736.74460901</v>
      </c>
      <c r="U95" s="22">
        <v>166257.33629012</v>
      </c>
      <c r="V95" s="25">
        <v>227920.05686832996</v>
      </c>
      <c r="W95" s="24">
        <v>54330.524407619996</v>
      </c>
      <c r="X95" s="24">
        <v>111331.18052994</v>
      </c>
      <c r="Y95" s="24">
        <v>172691.99545319003</v>
      </c>
      <c r="Z95" s="25">
        <v>245167.65934923998</v>
      </c>
      <c r="AA95" s="24">
        <v>71530.129585870003</v>
      </c>
      <c r="AB95" s="24">
        <v>143749.32309000997</v>
      </c>
      <c r="AC95" s="24">
        <v>216840.88240124998</v>
      </c>
      <c r="AD95" s="25">
        <v>290218.59126733005</v>
      </c>
      <c r="AE95" s="24">
        <v>61547.60523031</v>
      </c>
      <c r="AF95" s="24">
        <v>127934.46220947002</v>
      </c>
      <c r="AG95" s="24">
        <v>224567.81940437999</v>
      </c>
      <c r="AH95" s="25">
        <v>510032.9693992</v>
      </c>
      <c r="AI95" s="24">
        <v>101472.33966520999</v>
      </c>
      <c r="AJ95" s="24">
        <v>269053.27059562999</v>
      </c>
      <c r="AK95" s="24">
        <v>447381.47694652004</v>
      </c>
      <c r="AL95" s="25">
        <v>631733.66030409001</v>
      </c>
    </row>
    <row r="96" spans="1:38" x14ac:dyDescent="0.2">
      <c r="A96" s="13" t="s">
        <v>48</v>
      </c>
      <c r="B96" s="6" t="s">
        <v>44</v>
      </c>
      <c r="C96" s="22" t="s">
        <v>47</v>
      </c>
      <c r="D96" s="22" t="s">
        <v>47</v>
      </c>
      <c r="E96" s="22" t="s">
        <v>47</v>
      </c>
      <c r="F96" s="23" t="s">
        <v>47</v>
      </c>
      <c r="G96" s="22" t="s">
        <v>47</v>
      </c>
      <c r="H96" s="22" t="s">
        <v>47</v>
      </c>
      <c r="I96" s="22" t="s">
        <v>47</v>
      </c>
      <c r="J96" s="23" t="s">
        <v>47</v>
      </c>
      <c r="K96" s="22" t="s">
        <v>47</v>
      </c>
      <c r="L96" s="22" t="s">
        <v>47</v>
      </c>
      <c r="M96" s="22" t="s">
        <v>47</v>
      </c>
      <c r="N96" s="23" t="s">
        <v>47</v>
      </c>
      <c r="O96" s="22" t="s">
        <v>47</v>
      </c>
      <c r="P96" s="22" t="s">
        <v>47</v>
      </c>
      <c r="Q96" s="22" t="s">
        <v>47</v>
      </c>
      <c r="R96" s="23" t="s">
        <v>47</v>
      </c>
      <c r="S96" s="22" t="s">
        <v>47</v>
      </c>
      <c r="T96" s="22" t="s">
        <v>47</v>
      </c>
      <c r="U96" s="22" t="s">
        <v>47</v>
      </c>
      <c r="V96" s="25">
        <v>16261.593362799998</v>
      </c>
      <c r="W96" s="24">
        <v>4342.7535026399992</v>
      </c>
      <c r="X96" s="24">
        <v>9532.6569105100007</v>
      </c>
      <c r="Y96" s="24">
        <v>14371.672615869998</v>
      </c>
      <c r="Z96" s="25">
        <v>18682.808155710001</v>
      </c>
      <c r="AA96" s="24">
        <v>4511.1527573899994</v>
      </c>
      <c r="AB96" s="24">
        <v>9577.2418616399991</v>
      </c>
      <c r="AC96" s="24">
        <v>14712.66082035</v>
      </c>
      <c r="AD96" s="25">
        <v>20139.2249453</v>
      </c>
      <c r="AE96" s="24">
        <v>5160.7309381600007</v>
      </c>
      <c r="AF96" s="24">
        <v>10213.38602025</v>
      </c>
      <c r="AG96" s="24">
        <v>15888.132830089999</v>
      </c>
      <c r="AH96" s="25">
        <v>21530.344020789998</v>
      </c>
      <c r="AI96" s="24">
        <v>5439.8097243300008</v>
      </c>
      <c r="AJ96" s="24">
        <v>11142.201299910001</v>
      </c>
      <c r="AK96" s="24">
        <v>17540.670270030001</v>
      </c>
      <c r="AL96" s="25">
        <v>24631.746754509997</v>
      </c>
    </row>
    <row r="97" spans="1:38" x14ac:dyDescent="0.2">
      <c r="A97" s="13" t="s">
        <v>49</v>
      </c>
      <c r="B97" s="6" t="s">
        <v>44</v>
      </c>
      <c r="C97" s="22" t="s">
        <v>47</v>
      </c>
      <c r="D97" s="22" t="s">
        <v>47</v>
      </c>
      <c r="E97" s="22" t="s">
        <v>47</v>
      </c>
      <c r="F97" s="23" t="s">
        <v>47</v>
      </c>
      <c r="G97" s="22" t="s">
        <v>47</v>
      </c>
      <c r="H97" s="22" t="s">
        <v>47</v>
      </c>
      <c r="I97" s="22" t="s">
        <v>47</v>
      </c>
      <c r="J97" s="23" t="s">
        <v>47</v>
      </c>
      <c r="K97" s="22" t="s">
        <v>47</v>
      </c>
      <c r="L97" s="22" t="s">
        <v>47</v>
      </c>
      <c r="M97" s="22" t="s">
        <v>47</v>
      </c>
      <c r="N97" s="23" t="s">
        <v>47</v>
      </c>
      <c r="O97" s="22" t="s">
        <v>47</v>
      </c>
      <c r="P97" s="22" t="s">
        <v>47</v>
      </c>
      <c r="Q97" s="22" t="s">
        <v>47</v>
      </c>
      <c r="R97" s="23" t="s">
        <v>47</v>
      </c>
      <c r="S97" s="22" t="s">
        <v>47</v>
      </c>
      <c r="T97" s="22" t="s">
        <v>47</v>
      </c>
      <c r="U97" s="22" t="s">
        <v>47</v>
      </c>
      <c r="V97" s="25">
        <v>41057.106108269996</v>
      </c>
      <c r="W97" s="24">
        <v>15534.563133410002</v>
      </c>
      <c r="X97" s="24">
        <v>37666.921357239997</v>
      </c>
      <c r="Y97" s="24">
        <v>61877.094656319998</v>
      </c>
      <c r="Z97" s="25">
        <v>85276.192406419999</v>
      </c>
      <c r="AA97" s="24">
        <v>39036.683280350007</v>
      </c>
      <c r="AB97" s="24">
        <v>70407.251240740006</v>
      </c>
      <c r="AC97" s="24">
        <v>108388.83224094</v>
      </c>
      <c r="AD97" s="25">
        <v>155946.17962272</v>
      </c>
      <c r="AE97" s="24">
        <v>46554.356412830013</v>
      </c>
      <c r="AF97" s="24">
        <v>111979.43850048998</v>
      </c>
      <c r="AG97" s="24">
        <v>257635.83245013002</v>
      </c>
      <c r="AH97" s="25">
        <v>877717.11060362007</v>
      </c>
      <c r="AI97" s="24">
        <v>295514.32791465992</v>
      </c>
      <c r="AJ97" s="24">
        <v>458099.82826849999</v>
      </c>
      <c r="AK97" s="24">
        <v>663541.59826679004</v>
      </c>
      <c r="AL97" s="25">
        <v>994077.56752043008</v>
      </c>
    </row>
    <row r="98" spans="1:38" x14ac:dyDescent="0.2">
      <c r="A98" s="13" t="s">
        <v>50</v>
      </c>
      <c r="B98" s="6" t="s">
        <v>44</v>
      </c>
      <c r="C98" s="22" t="s">
        <v>47</v>
      </c>
      <c r="D98" s="22" t="s">
        <v>47</v>
      </c>
      <c r="E98" s="22" t="s">
        <v>47</v>
      </c>
      <c r="F98" s="23" t="s">
        <v>47</v>
      </c>
      <c r="G98" s="22" t="s">
        <v>47</v>
      </c>
      <c r="H98" s="22" t="s">
        <v>47</v>
      </c>
      <c r="I98" s="22" t="s">
        <v>47</v>
      </c>
      <c r="J98" s="23" t="s">
        <v>47</v>
      </c>
      <c r="K98" s="22" t="s">
        <v>47</v>
      </c>
      <c r="L98" s="22" t="s">
        <v>47</v>
      </c>
      <c r="M98" s="22" t="s">
        <v>47</v>
      </c>
      <c r="N98" s="23" t="s">
        <v>47</v>
      </c>
      <c r="O98" s="22" t="s">
        <v>47</v>
      </c>
      <c r="P98" s="22" t="s">
        <v>47</v>
      </c>
      <c r="Q98" s="22" t="s">
        <v>47</v>
      </c>
      <c r="R98" s="23" t="s">
        <v>47</v>
      </c>
      <c r="S98" s="22" t="s">
        <v>47</v>
      </c>
      <c r="T98" s="22" t="s">
        <v>47</v>
      </c>
      <c r="U98" s="22" t="s">
        <v>47</v>
      </c>
      <c r="V98" s="25">
        <v>974.82254284999999</v>
      </c>
      <c r="W98" s="24">
        <v>251.02390132999997</v>
      </c>
      <c r="X98" s="24">
        <v>572.49006202999999</v>
      </c>
      <c r="Y98" s="24">
        <v>776.05411476000006</v>
      </c>
      <c r="Z98" s="25">
        <v>813.51225239000007</v>
      </c>
      <c r="AA98" s="24">
        <v>186.01917603000001</v>
      </c>
      <c r="AB98" s="24">
        <v>273.11251567999994</v>
      </c>
      <c r="AC98" s="24">
        <v>392.18162204999999</v>
      </c>
      <c r="AD98" s="25">
        <v>541.67125311000007</v>
      </c>
      <c r="AE98" s="24">
        <v>102.11909189000001</v>
      </c>
      <c r="AF98" s="24">
        <v>224.75417407999996</v>
      </c>
      <c r="AG98" s="24">
        <v>335.08631019999996</v>
      </c>
      <c r="AH98" s="25">
        <v>672.38452098999994</v>
      </c>
      <c r="AI98" s="24">
        <v>145.10043345000003</v>
      </c>
      <c r="AJ98" s="24">
        <v>327.29651126999994</v>
      </c>
      <c r="AK98" s="24">
        <v>605.76871029000006</v>
      </c>
      <c r="AL98" s="25">
        <v>452.81057915999997</v>
      </c>
    </row>
    <row r="99" spans="1:38" x14ac:dyDescent="0.2">
      <c r="A99" s="13" t="s">
        <v>51</v>
      </c>
      <c r="B99" s="6" t="s">
        <v>44</v>
      </c>
      <c r="C99" s="22" t="s">
        <v>47</v>
      </c>
      <c r="D99" s="22" t="s">
        <v>47</v>
      </c>
      <c r="E99" s="22" t="s">
        <v>47</v>
      </c>
      <c r="F99" s="23" t="s">
        <v>47</v>
      </c>
      <c r="G99" s="22" t="s">
        <v>47</v>
      </c>
      <c r="H99" s="22" t="s">
        <v>47</v>
      </c>
      <c r="I99" s="22" t="s">
        <v>47</v>
      </c>
      <c r="J99" s="23" t="s">
        <v>47</v>
      </c>
      <c r="K99" s="22" t="s">
        <v>47</v>
      </c>
      <c r="L99" s="22" t="s">
        <v>47</v>
      </c>
      <c r="M99" s="22" t="s">
        <v>47</v>
      </c>
      <c r="N99" s="23" t="s">
        <v>47</v>
      </c>
      <c r="O99" s="22" t="s">
        <v>47</v>
      </c>
      <c r="P99" s="22" t="s">
        <v>47</v>
      </c>
      <c r="Q99" s="22" t="s">
        <v>47</v>
      </c>
      <c r="R99" s="23" t="s">
        <v>47</v>
      </c>
      <c r="S99" s="22" t="s">
        <v>47</v>
      </c>
      <c r="T99" s="22" t="s">
        <v>47</v>
      </c>
      <c r="U99" s="22" t="s">
        <v>47</v>
      </c>
      <c r="V99" s="25">
        <v>654.40790382</v>
      </c>
      <c r="W99" s="24">
        <v>170.99891715999999</v>
      </c>
      <c r="X99" s="24">
        <v>304.86212534999999</v>
      </c>
      <c r="Y99" s="24">
        <v>445.21228067000004</v>
      </c>
      <c r="Z99" s="25">
        <v>597.76895828000011</v>
      </c>
      <c r="AA99" s="24">
        <v>173.60228830000003</v>
      </c>
      <c r="AB99" s="24">
        <v>335.13947964000005</v>
      </c>
      <c r="AC99" s="24">
        <v>511.68025340999998</v>
      </c>
      <c r="AD99" s="25">
        <v>685.29397398999981</v>
      </c>
      <c r="AE99" s="24">
        <v>201.39636438999997</v>
      </c>
      <c r="AF99" s="24">
        <v>387.37882085999991</v>
      </c>
      <c r="AG99" s="24">
        <v>600.18074089999993</v>
      </c>
      <c r="AH99" s="25">
        <v>816.51354662000006</v>
      </c>
      <c r="AI99" s="24">
        <v>225.51759090000002</v>
      </c>
      <c r="AJ99" s="24">
        <v>473.68105726999994</v>
      </c>
      <c r="AK99" s="24">
        <v>732.56455335999988</v>
      </c>
      <c r="AL99" s="25">
        <v>1533.4887965300002</v>
      </c>
    </row>
    <row r="100" spans="1:38" x14ac:dyDescent="0.2">
      <c r="A100" s="13" t="s">
        <v>52</v>
      </c>
      <c r="B100" s="6" t="s">
        <v>44</v>
      </c>
      <c r="C100" s="24">
        <v>375.399</v>
      </c>
      <c r="D100" s="24">
        <v>589.31100000000004</v>
      </c>
      <c r="E100" s="24">
        <v>837.31200000000001</v>
      </c>
      <c r="F100" s="25">
        <v>1078.3430000000001</v>
      </c>
      <c r="G100" s="24">
        <v>204.26991493999998</v>
      </c>
      <c r="H100" s="24">
        <v>449.83893647999997</v>
      </c>
      <c r="I100" s="24">
        <v>668.95996060000004</v>
      </c>
      <c r="J100" s="25">
        <v>922.77257895999992</v>
      </c>
      <c r="K100" s="24">
        <v>229.38151434</v>
      </c>
      <c r="L100" s="24">
        <v>488.37071827999995</v>
      </c>
      <c r="M100" s="24">
        <v>711.99136779000003</v>
      </c>
      <c r="N100" s="25">
        <v>977.19649063999998</v>
      </c>
      <c r="O100" s="24">
        <v>281.51191392000004</v>
      </c>
      <c r="P100" s="24">
        <v>545.43337191000001</v>
      </c>
      <c r="Q100" s="24">
        <v>861.31783976999998</v>
      </c>
      <c r="R100" s="25">
        <v>1142.0128766999999</v>
      </c>
      <c r="S100" s="24">
        <v>289.6271759</v>
      </c>
      <c r="T100" s="24">
        <v>823.49826823000001</v>
      </c>
      <c r="U100" s="24">
        <v>1145.0545992099999</v>
      </c>
      <c r="V100" s="25">
        <v>1460.6109573799999</v>
      </c>
      <c r="W100" s="24">
        <v>361.35199616</v>
      </c>
      <c r="X100" s="24">
        <v>1610.4580638099999</v>
      </c>
      <c r="Y100" s="24">
        <v>3016.5162390499995</v>
      </c>
      <c r="Z100" s="25">
        <v>1662.5666393700003</v>
      </c>
      <c r="AA100" s="24">
        <v>408.34487970999999</v>
      </c>
      <c r="AB100" s="24">
        <v>797.7182315</v>
      </c>
      <c r="AC100" s="24">
        <v>1172.7392741000001</v>
      </c>
      <c r="AD100" s="25">
        <v>1600.0335957100001</v>
      </c>
      <c r="AE100" s="24">
        <v>311.99461282999999</v>
      </c>
      <c r="AF100" s="24">
        <v>564.44269520000012</v>
      </c>
      <c r="AG100" s="24">
        <v>914.25524106</v>
      </c>
      <c r="AH100" s="25">
        <v>1289.7100249099999</v>
      </c>
      <c r="AI100" s="24">
        <v>355.94637689999996</v>
      </c>
      <c r="AJ100" s="24">
        <v>587.8460500299999</v>
      </c>
      <c r="AK100" s="24">
        <v>885.11602522999999</v>
      </c>
      <c r="AL100" s="25">
        <v>1232.26606825</v>
      </c>
    </row>
    <row r="101" spans="1:38" x14ac:dyDescent="0.2">
      <c r="A101" s="18" t="s">
        <v>53</v>
      </c>
      <c r="B101" s="19" t="s">
        <v>44</v>
      </c>
      <c r="C101" s="20">
        <v>3128.9859999999999</v>
      </c>
      <c r="D101" s="20">
        <v>6797.0330000000004</v>
      </c>
      <c r="E101" s="20">
        <v>10481.043</v>
      </c>
      <c r="F101" s="21">
        <v>14367.296</v>
      </c>
      <c r="G101" s="20">
        <v>3530.3579187199998</v>
      </c>
      <c r="H101" s="20">
        <v>7714.9830191599995</v>
      </c>
      <c r="I101" s="20">
        <v>11894.11961313</v>
      </c>
      <c r="J101" s="21">
        <v>16403.952648930001</v>
      </c>
      <c r="K101" s="20">
        <v>4036.9304845400002</v>
      </c>
      <c r="L101" s="20">
        <v>8672.3794467999996</v>
      </c>
      <c r="M101" s="20">
        <v>12756.42879528</v>
      </c>
      <c r="N101" s="21">
        <v>17289.314949600001</v>
      </c>
      <c r="O101" s="20">
        <v>4767.4317793600003</v>
      </c>
      <c r="P101" s="20">
        <v>8496.9196504200008</v>
      </c>
      <c r="Q101" s="20">
        <v>13509.99142516</v>
      </c>
      <c r="R101" s="21">
        <v>19228.290113820003</v>
      </c>
      <c r="S101" s="20">
        <v>5281.3682882599996</v>
      </c>
      <c r="T101" s="20">
        <v>11886.98712521</v>
      </c>
      <c r="U101" s="20">
        <v>19157.322337630001</v>
      </c>
      <c r="V101" s="21">
        <v>26928.83608958</v>
      </c>
      <c r="W101" s="20">
        <v>7954.6225422500002</v>
      </c>
      <c r="X101" s="20">
        <v>17023.950172919998</v>
      </c>
      <c r="Y101" s="20">
        <v>25474.416421059999</v>
      </c>
      <c r="Z101" s="21">
        <v>33092.666101199997</v>
      </c>
      <c r="AA101" s="20">
        <v>7131.8395158599997</v>
      </c>
      <c r="AB101" s="20">
        <v>15084.03829079</v>
      </c>
      <c r="AC101" s="20">
        <v>23302.564627220003</v>
      </c>
      <c r="AD101" s="21">
        <v>31866.631376759997</v>
      </c>
      <c r="AE101" s="20">
        <v>8371.4557771</v>
      </c>
      <c r="AF101" s="20">
        <v>17003.92976875</v>
      </c>
      <c r="AG101" s="20">
        <v>26470.693853979999</v>
      </c>
      <c r="AH101" s="21">
        <v>36260.645378679998</v>
      </c>
      <c r="AI101" s="20">
        <v>8720.9112240699997</v>
      </c>
      <c r="AJ101" s="20">
        <v>17604.634222339999</v>
      </c>
      <c r="AK101" s="20">
        <v>26991.18747651</v>
      </c>
      <c r="AL101" s="21">
        <v>37031.358104999999</v>
      </c>
    </row>
    <row r="102" spans="1:38" x14ac:dyDescent="0.2">
      <c r="A102" s="18" t="s">
        <v>54</v>
      </c>
      <c r="B102" s="19" t="s">
        <v>44</v>
      </c>
      <c r="C102" s="20">
        <v>22924.182000000001</v>
      </c>
      <c r="D102" s="20">
        <v>50502.550999999999</v>
      </c>
      <c r="E102" s="20">
        <v>76776.384999999995</v>
      </c>
      <c r="F102" s="21">
        <v>105811.23699999999</v>
      </c>
      <c r="G102" s="20">
        <v>23462.028848059999</v>
      </c>
      <c r="H102" s="20">
        <v>52542.42902843</v>
      </c>
      <c r="I102" s="20">
        <v>81291.412199130005</v>
      </c>
      <c r="J102" s="21">
        <v>111930.61414372</v>
      </c>
      <c r="K102" s="20">
        <v>27559.88506189</v>
      </c>
      <c r="L102" s="20">
        <v>58213.72663592</v>
      </c>
      <c r="M102" s="20">
        <v>91319.663640599989</v>
      </c>
      <c r="N102" s="21">
        <v>126495.45604139</v>
      </c>
      <c r="O102" s="20">
        <v>30445.049119800002</v>
      </c>
      <c r="P102" s="20">
        <v>54003.317821119999</v>
      </c>
      <c r="Q102" s="20">
        <v>80960.980931309998</v>
      </c>
      <c r="R102" s="21">
        <v>118206.69381548</v>
      </c>
      <c r="S102" s="20">
        <v>29669.454737650001</v>
      </c>
      <c r="T102" s="20">
        <v>66865.153899240002</v>
      </c>
      <c r="U102" s="20">
        <v>102293.16383916</v>
      </c>
      <c r="V102" s="21">
        <v>142205.34552638998</v>
      </c>
      <c r="W102" s="20">
        <v>33214.178251320001</v>
      </c>
      <c r="X102" s="20">
        <v>72579.45183305</v>
      </c>
      <c r="Y102" s="20">
        <v>112479.52919372999</v>
      </c>
      <c r="Z102" s="21">
        <v>156051.34303102997</v>
      </c>
      <c r="AA102" s="20">
        <v>35946.549638389995</v>
      </c>
      <c r="AB102" s="20">
        <v>79798.977968079998</v>
      </c>
      <c r="AC102" s="20">
        <v>122552.54531872</v>
      </c>
      <c r="AD102" s="21">
        <v>169137.1561349</v>
      </c>
      <c r="AE102" s="20">
        <v>39805.51547061</v>
      </c>
      <c r="AF102" s="20">
        <v>87725.219244770007</v>
      </c>
      <c r="AG102" s="20">
        <v>137485.79393926001</v>
      </c>
      <c r="AH102" s="21">
        <v>191886.12239638998</v>
      </c>
      <c r="AI102" s="20">
        <v>50483.091923199994</v>
      </c>
      <c r="AJ102" s="20">
        <v>108249.10400891</v>
      </c>
      <c r="AK102" s="20">
        <v>167848.9257207</v>
      </c>
      <c r="AL102" s="21">
        <v>233417.81503705002</v>
      </c>
    </row>
    <row r="103" spans="1:38" x14ac:dyDescent="0.2">
      <c r="A103" s="18" t="s">
        <v>55</v>
      </c>
      <c r="B103" s="19" t="s">
        <v>44</v>
      </c>
      <c r="C103" s="20">
        <v>21076.427</v>
      </c>
      <c r="D103" s="20">
        <v>42641.159</v>
      </c>
      <c r="E103" s="20">
        <v>62789.362999999998</v>
      </c>
      <c r="F103" s="21">
        <v>83343.914999999994</v>
      </c>
      <c r="G103" s="20">
        <v>19237.235180449999</v>
      </c>
      <c r="H103" s="20">
        <v>40405.297673790003</v>
      </c>
      <c r="I103" s="20">
        <v>61304.417059749998</v>
      </c>
      <c r="J103" s="21">
        <v>83254.170915580005</v>
      </c>
      <c r="K103" s="20">
        <v>21396.540059849998</v>
      </c>
      <c r="L103" s="20">
        <v>46021.113415790001</v>
      </c>
      <c r="M103" s="20">
        <v>70610.798080790002</v>
      </c>
      <c r="N103" s="21">
        <v>97207.977328720008</v>
      </c>
      <c r="O103" s="20">
        <v>24778.844131829999</v>
      </c>
      <c r="P103" s="20">
        <v>45012.284478639995</v>
      </c>
      <c r="Q103" s="20">
        <v>70812.27340024001</v>
      </c>
      <c r="R103" s="21">
        <v>97983.359858419994</v>
      </c>
      <c r="S103" s="20">
        <v>24495.507514559999</v>
      </c>
      <c r="T103" s="20">
        <v>52257.022125660005</v>
      </c>
      <c r="U103" s="20">
        <v>80927.976524169993</v>
      </c>
      <c r="V103" s="21">
        <v>109260.95090708999</v>
      </c>
      <c r="W103" s="20">
        <v>28839.5080657</v>
      </c>
      <c r="X103" s="20">
        <v>61454.174395230002</v>
      </c>
      <c r="Y103" s="20">
        <v>91024.682468740008</v>
      </c>
      <c r="Z103" s="21">
        <v>121548.73365151002</v>
      </c>
      <c r="AA103" s="20">
        <v>29378.766406449999</v>
      </c>
      <c r="AB103" s="20">
        <v>62144.232713669997</v>
      </c>
      <c r="AC103" s="20">
        <v>94477.067094290003</v>
      </c>
      <c r="AD103" s="21">
        <v>129503.43674003001</v>
      </c>
      <c r="AE103" s="20">
        <v>34049.164733599995</v>
      </c>
      <c r="AF103" s="20">
        <v>72756.257801540007</v>
      </c>
      <c r="AG103" s="20">
        <v>116455.57089349</v>
      </c>
      <c r="AH103" s="21">
        <v>165368.67022684999</v>
      </c>
      <c r="AI103" s="20">
        <v>49476.767213270003</v>
      </c>
      <c r="AJ103" s="20">
        <v>103816.14545333</v>
      </c>
      <c r="AK103" s="20">
        <v>160329.95325729001</v>
      </c>
      <c r="AL103" s="21">
        <v>217486.60858724001</v>
      </c>
    </row>
    <row r="104" spans="1:38" x14ac:dyDescent="0.2">
      <c r="A104" s="18" t="s">
        <v>56</v>
      </c>
      <c r="B104" s="19" t="s">
        <v>44</v>
      </c>
      <c r="C104" s="20">
        <v>3051.5120000000002</v>
      </c>
      <c r="D104" s="20">
        <v>23379.339</v>
      </c>
      <c r="E104" s="20">
        <v>29157.291000000001</v>
      </c>
      <c r="F104" s="21">
        <v>36598.288999999997</v>
      </c>
      <c r="G104" s="20">
        <v>7321.5734959199999</v>
      </c>
      <c r="H104" s="20">
        <v>19177.749437539998</v>
      </c>
      <c r="I104" s="20">
        <v>31323.668547090001</v>
      </c>
      <c r="J104" s="21">
        <v>49322.247793440001</v>
      </c>
      <c r="K104" s="20">
        <v>7587.31163234</v>
      </c>
      <c r="L104" s="20">
        <v>17543.00980725</v>
      </c>
      <c r="M104" s="20">
        <v>22171.430719919998</v>
      </c>
      <c r="N104" s="21">
        <v>28891.0271097</v>
      </c>
      <c r="O104" s="20">
        <v>4315.1660151699998</v>
      </c>
      <c r="P104" s="20">
        <v>9493.7941557100003</v>
      </c>
      <c r="Q104" s="20">
        <v>15025.909584860001</v>
      </c>
      <c r="R104" s="21">
        <v>22292.81204484</v>
      </c>
      <c r="S104" s="20">
        <v>3903.36001652</v>
      </c>
      <c r="T104" s="20">
        <v>11982.89577983</v>
      </c>
      <c r="U104" s="20">
        <v>17390.06960164</v>
      </c>
      <c r="V104" s="21">
        <v>22002.961541080003</v>
      </c>
      <c r="W104" s="20">
        <v>5093.51733771</v>
      </c>
      <c r="X104" s="20">
        <v>9807.3164582399895</v>
      </c>
      <c r="Y104" s="20">
        <v>19676.436693470001</v>
      </c>
      <c r="Z104" s="21">
        <v>30679.097283370003</v>
      </c>
      <c r="AA104" s="20">
        <v>5481.2317124500005</v>
      </c>
      <c r="AB104" s="20">
        <v>10433.899988749999</v>
      </c>
      <c r="AC104" s="20">
        <v>17644.223306120002</v>
      </c>
      <c r="AD104" s="21">
        <v>30082.413087230001</v>
      </c>
      <c r="AE104" s="20">
        <v>9459.00320999</v>
      </c>
      <c r="AF104" s="20">
        <v>20366.971110800001</v>
      </c>
      <c r="AG104" s="20">
        <v>44583.525291450002</v>
      </c>
      <c r="AH104" s="21">
        <v>65009.6738129</v>
      </c>
      <c r="AI104" s="20">
        <v>13105.03989312</v>
      </c>
      <c r="AJ104" s="20">
        <v>28774.421180720001</v>
      </c>
      <c r="AK104" s="20">
        <v>42337.205013230006</v>
      </c>
      <c r="AL104" s="21">
        <v>65461.492677570001</v>
      </c>
    </row>
    <row r="105" spans="1:38" x14ac:dyDescent="0.2">
      <c r="A105" s="18" t="s">
        <v>57</v>
      </c>
      <c r="B105" s="19" t="s">
        <v>44</v>
      </c>
      <c r="C105" s="20">
        <v>2122.9209999999998</v>
      </c>
      <c r="D105" s="20">
        <v>4271.2839999999997</v>
      </c>
      <c r="E105" s="20">
        <v>6150.7129999999997</v>
      </c>
      <c r="F105" s="21">
        <v>8233.4969999999994</v>
      </c>
      <c r="G105" s="20">
        <v>1782.7721080400001</v>
      </c>
      <c r="H105" s="20">
        <v>4095.0956492800001</v>
      </c>
      <c r="I105" s="20">
        <v>6442.3700396699996</v>
      </c>
      <c r="J105" s="21">
        <v>8964.4475046999996</v>
      </c>
      <c r="K105" s="20">
        <v>2054.3458573799999</v>
      </c>
      <c r="L105" s="20">
        <v>4132.0576725000001</v>
      </c>
      <c r="M105" s="20">
        <v>6542.6861604799997</v>
      </c>
      <c r="N105" s="21">
        <v>8840.2089906799993</v>
      </c>
      <c r="O105" s="20">
        <v>1914.72582106</v>
      </c>
      <c r="P105" s="20">
        <v>4003.1010045799999</v>
      </c>
      <c r="Q105" s="20">
        <v>6413.5679298699997</v>
      </c>
      <c r="R105" s="21">
        <v>8651.6359969799996</v>
      </c>
      <c r="S105" s="20">
        <v>2333.98024278</v>
      </c>
      <c r="T105" s="20">
        <v>4801.4485000799996</v>
      </c>
      <c r="U105" s="20">
        <v>6945.6736557200002</v>
      </c>
      <c r="V105" s="21">
        <v>9084.8180861199999</v>
      </c>
      <c r="W105" s="20">
        <v>2607.3126332500001</v>
      </c>
      <c r="X105" s="20">
        <v>5363.7706790699995</v>
      </c>
      <c r="Y105" s="20">
        <v>8026.1142065599997</v>
      </c>
      <c r="Z105" s="21">
        <v>10363.95804707</v>
      </c>
      <c r="AA105" s="20">
        <v>1855.4727606899999</v>
      </c>
      <c r="AB105" s="20">
        <v>5129.6757891899997</v>
      </c>
      <c r="AC105" s="20">
        <v>7901.1153713100002</v>
      </c>
      <c r="AD105" s="21">
        <v>10862.114572119999</v>
      </c>
      <c r="AE105" s="20">
        <v>3162.5469145399998</v>
      </c>
      <c r="AF105" s="20">
        <v>9021.9157137399998</v>
      </c>
      <c r="AG105" s="20">
        <v>13824.65729101</v>
      </c>
      <c r="AH105" s="21">
        <v>17922.90986666</v>
      </c>
      <c r="AI105" s="20">
        <v>3579.8315406800002</v>
      </c>
      <c r="AJ105" s="20">
        <v>7732.3085721199996</v>
      </c>
      <c r="AK105" s="20">
        <v>11716.0904563</v>
      </c>
      <c r="AL105" s="21">
        <v>15606.98263565</v>
      </c>
    </row>
    <row r="106" spans="1:38" x14ac:dyDescent="0.2">
      <c r="A106" s="18" t="s">
        <v>58</v>
      </c>
      <c r="B106" s="19" t="s">
        <v>44</v>
      </c>
      <c r="C106" s="20">
        <v>52392.055999999997</v>
      </c>
      <c r="D106" s="20">
        <v>103581.084</v>
      </c>
      <c r="E106" s="20">
        <v>146626.42300000001</v>
      </c>
      <c r="F106" s="21">
        <v>175516.25200000001</v>
      </c>
      <c r="G106" s="20">
        <v>32426.965143010002</v>
      </c>
      <c r="H106" s="20">
        <v>66549.813621310008</v>
      </c>
      <c r="I106" s="20">
        <v>101404.80808769999</v>
      </c>
      <c r="J106" s="21">
        <v>137901.72481086999</v>
      </c>
      <c r="K106" s="20">
        <v>36090.664493010001</v>
      </c>
      <c r="L106" s="20">
        <v>71340.798693299992</v>
      </c>
      <c r="M106" s="20">
        <v>103142.94448286</v>
      </c>
      <c r="N106" s="21">
        <v>142379.15016813</v>
      </c>
      <c r="O106" s="20">
        <v>37386.621525150003</v>
      </c>
      <c r="P106" s="20">
        <v>67998.825537690005</v>
      </c>
      <c r="Q106" s="20">
        <v>102094.00049747001</v>
      </c>
      <c r="R106" s="21">
        <v>137371.39752917</v>
      </c>
      <c r="S106" s="20">
        <v>37182.981279629996</v>
      </c>
      <c r="T106" s="20">
        <v>74549.237378959995</v>
      </c>
      <c r="U106" s="20">
        <v>111273.43275881</v>
      </c>
      <c r="V106" s="21">
        <v>143555.73235501</v>
      </c>
      <c r="W106" s="20">
        <v>40538.847559270005</v>
      </c>
      <c r="X106" s="20">
        <v>80584.62127679</v>
      </c>
      <c r="Y106" s="20">
        <v>116552.39109551</v>
      </c>
      <c r="Z106" s="21">
        <v>159834.13138627002</v>
      </c>
      <c r="AA106" s="20">
        <v>40924.370791720001</v>
      </c>
      <c r="AB106" s="20">
        <v>79795.195037240002</v>
      </c>
      <c r="AC106" s="20">
        <v>121219.43710742</v>
      </c>
      <c r="AD106" s="21">
        <v>161592.19856138001</v>
      </c>
      <c r="AE106" s="20">
        <v>52290.93631836</v>
      </c>
      <c r="AF106" s="20">
        <v>102139.37576644</v>
      </c>
      <c r="AG106" s="20">
        <v>147318.57538279</v>
      </c>
      <c r="AH106" s="21">
        <v>202101.40253411001</v>
      </c>
      <c r="AI106" s="20">
        <v>51744.009420369999</v>
      </c>
      <c r="AJ106" s="20">
        <v>108727.34579947</v>
      </c>
      <c r="AK106" s="20">
        <v>163057.15769728</v>
      </c>
      <c r="AL106" s="21">
        <v>221031.83100130002</v>
      </c>
    </row>
    <row r="107" spans="1:38" x14ac:dyDescent="0.2">
      <c r="A107" s="18" t="s">
        <v>59</v>
      </c>
      <c r="B107" s="19" t="s">
        <v>44</v>
      </c>
      <c r="C107" s="20">
        <v>11022.073000000004</v>
      </c>
      <c r="D107" s="20">
        <v>26014.319000000003</v>
      </c>
      <c r="E107" s="20">
        <v>37349.022999999957</v>
      </c>
      <c r="F107" s="21">
        <v>49364.804000000004</v>
      </c>
      <c r="G107" s="20">
        <v>10661.887941070014</v>
      </c>
      <c r="H107" s="20">
        <v>19659.47500322001</v>
      </c>
      <c r="I107" s="20">
        <v>30714.464410770044</v>
      </c>
      <c r="J107" s="21">
        <v>47620.372495270014</v>
      </c>
      <c r="K107" s="20">
        <v>16413.32492699998</v>
      </c>
      <c r="L107" s="20">
        <v>28212.913384040032</v>
      </c>
      <c r="M107" s="20">
        <v>38597.594840010061</v>
      </c>
      <c r="N107" s="21">
        <v>56359.627658490033</v>
      </c>
      <c r="O107" s="20">
        <v>12857.715842990001</v>
      </c>
      <c r="P107" s="20">
        <v>21993.602925380022</v>
      </c>
      <c r="Q107" s="20">
        <v>32342.799078429947</v>
      </c>
      <c r="R107" s="21">
        <v>50255.648444510036</v>
      </c>
      <c r="S107" s="20">
        <v>12263.878897150011</v>
      </c>
      <c r="T107" s="20">
        <v>24353.343728599968</v>
      </c>
      <c r="U107" s="20">
        <v>38597.900302940048</v>
      </c>
      <c r="V107" s="21">
        <v>55606.610116599913</v>
      </c>
      <c r="W107" s="20">
        <v>8109.1688642299632</v>
      </c>
      <c r="X107" s="20">
        <v>14849.613802890133</v>
      </c>
      <c r="Y107" s="20">
        <v>20480.78783169009</v>
      </c>
      <c r="Z107" s="21">
        <v>29448.342966500117</v>
      </c>
      <c r="AA107" s="20">
        <v>8788.7282538400541</v>
      </c>
      <c r="AB107" s="20">
        <v>17059.814790330071</v>
      </c>
      <c r="AC107" s="20">
        <v>29752.164835499949</v>
      </c>
      <c r="AD107" s="21">
        <v>42207.905188090052</v>
      </c>
      <c r="AE107" s="20">
        <v>11006.916491820033</v>
      </c>
      <c r="AF107" s="20">
        <v>23397.209733640178</v>
      </c>
      <c r="AG107" s="20">
        <v>39627.165017769847</v>
      </c>
      <c r="AH107" s="21">
        <v>58201.415846839576</v>
      </c>
      <c r="AI107" s="20">
        <v>22245.249342059964</v>
      </c>
      <c r="AJ107" s="20">
        <v>44322.454747680255</v>
      </c>
      <c r="AK107" s="20">
        <v>64707.641753710195</v>
      </c>
      <c r="AL107" s="21">
        <v>95928.040658810234</v>
      </c>
    </row>
    <row r="108" spans="1:38" x14ac:dyDescent="0.2">
      <c r="A108" s="26" t="s">
        <v>95</v>
      </c>
      <c r="B108" s="10" t="s">
        <v>44</v>
      </c>
      <c r="C108" s="16">
        <v>73531.119000000006</v>
      </c>
      <c r="D108" s="16">
        <v>147677.97399999999</v>
      </c>
      <c r="E108" s="16">
        <v>204897.21599999999</v>
      </c>
      <c r="F108" s="17">
        <v>255879.997</v>
      </c>
      <c r="G108" s="16">
        <v>53218.197140929995</v>
      </c>
      <c r="H108" s="16">
        <v>113639.32563444</v>
      </c>
      <c r="I108" s="16">
        <v>177515.45828276</v>
      </c>
      <c r="J108" s="17">
        <v>248786.88900279001</v>
      </c>
      <c r="K108" s="16">
        <v>70093.370513639995</v>
      </c>
      <c r="L108" s="16">
        <v>152048.80360188003</v>
      </c>
      <c r="M108" s="16">
        <v>222373.97880735004</v>
      </c>
      <c r="N108" s="17">
        <v>314897.46633127</v>
      </c>
      <c r="O108" s="16">
        <v>86499.864544430005</v>
      </c>
      <c r="P108" s="16">
        <v>163165.52066897001</v>
      </c>
      <c r="Q108" s="16">
        <v>258443.08620697001</v>
      </c>
      <c r="R108" s="17">
        <v>356634.56183610001</v>
      </c>
      <c r="S108" s="16">
        <v>103382.89995859</v>
      </c>
      <c r="T108" s="16">
        <v>207024.91466429998</v>
      </c>
      <c r="U108" s="16">
        <v>314571.78691800998</v>
      </c>
      <c r="V108" s="17">
        <v>499353.10462085996</v>
      </c>
      <c r="W108" s="16">
        <v>132916.18713124999</v>
      </c>
      <c r="X108" s="16">
        <v>277083.46637432999</v>
      </c>
      <c r="Y108" s="16">
        <v>423844.65494004998</v>
      </c>
      <c r="Z108" s="17">
        <v>586719.50070897012</v>
      </c>
      <c r="AA108" s="16">
        <v>172916.82985716005</v>
      </c>
      <c r="AB108" s="16">
        <v>340695.88272795005</v>
      </c>
      <c r="AC108" s="16">
        <v>518845.98599229002</v>
      </c>
      <c r="AD108" s="17">
        <v>707294.57815726008</v>
      </c>
      <c r="AE108" s="16">
        <v>185389.99260978002</v>
      </c>
      <c r="AF108" s="16">
        <v>396145.03912033996</v>
      </c>
      <c r="AG108" s="16">
        <v>719058.38953118003</v>
      </c>
      <c r="AH108" s="17">
        <v>1715253.85830418</v>
      </c>
      <c r="AI108" s="16">
        <v>482905.82467891998</v>
      </c>
      <c r="AJ108" s="16">
        <v>908558.37959450006</v>
      </c>
      <c r="AK108" s="16">
        <v>1389974.3705784695</v>
      </c>
      <c r="AL108" s="17">
        <v>2017023.89188576</v>
      </c>
    </row>
    <row r="109" spans="1:38" x14ac:dyDescent="0.2">
      <c r="A109" s="26" t="s">
        <v>96</v>
      </c>
      <c r="B109" s="10" t="s">
        <v>44</v>
      </c>
      <c r="C109" s="16">
        <v>47032.117999999988</v>
      </c>
      <c r="D109" s="16">
        <v>120544.33900000004</v>
      </c>
      <c r="E109" s="16">
        <v>180896.158</v>
      </c>
      <c r="F109" s="17">
        <v>240455.55499999999</v>
      </c>
      <c r="G109" s="16">
        <v>52454.062033269998</v>
      </c>
      <c r="H109" s="16">
        <v>114682.99483819</v>
      </c>
      <c r="I109" s="16">
        <v>179570.67117965</v>
      </c>
      <c r="J109" s="17">
        <v>257356.79072301998</v>
      </c>
      <c r="K109" s="16">
        <v>64860.857990639997</v>
      </c>
      <c r="L109" s="16">
        <v>132892.25698579999</v>
      </c>
      <c r="M109" s="16">
        <v>193556.43551335001</v>
      </c>
      <c r="N109" s="17">
        <v>268986.75201704004</v>
      </c>
      <c r="O109" s="16">
        <v>63222.701033160003</v>
      </c>
      <c r="P109" s="16">
        <v>116309.36426225</v>
      </c>
      <c r="Q109" s="16">
        <v>176041.58104597</v>
      </c>
      <c r="R109" s="17">
        <v>255671.99481786002</v>
      </c>
      <c r="S109" s="16">
        <v>63494.535475440003</v>
      </c>
      <c r="T109" s="16">
        <v>140657.70870608999</v>
      </c>
      <c r="U109" s="16">
        <v>215820.22392098999</v>
      </c>
      <c r="V109" s="17">
        <v>297620.74774445989</v>
      </c>
      <c r="W109" s="16">
        <v>68432.183980799979</v>
      </c>
      <c r="X109" s="16">
        <v>145598.00129274011</v>
      </c>
      <c r="Y109" s="16">
        <v>223048.24833057006</v>
      </c>
      <c r="Z109" s="17">
        <v>306499.27951938997</v>
      </c>
      <c r="AA109" s="16">
        <v>72436.061189889995</v>
      </c>
      <c r="AB109" s="16">
        <v>153889.73826931004</v>
      </c>
      <c r="AC109" s="16">
        <v>240022.10828038986</v>
      </c>
      <c r="AD109" s="17">
        <v>337088.27216140996</v>
      </c>
      <c r="AE109" s="16">
        <v>86633.748956650001</v>
      </c>
      <c r="AF109" s="16">
        <v>187569.70243969018</v>
      </c>
      <c r="AG109" s="16">
        <v>306648.89911532984</v>
      </c>
      <c r="AH109" s="17">
        <v>433556.01387437969</v>
      </c>
      <c r="AI109" s="16">
        <v>119602.11758329999</v>
      </c>
      <c r="AJ109" s="16">
        <v>250352.15817268018</v>
      </c>
      <c r="AK109" s="16">
        <v>377737.03307168046</v>
      </c>
      <c r="AL109" s="17">
        <v>531695.53413414978</v>
      </c>
    </row>
    <row r="110" spans="1:38" x14ac:dyDescent="0.2">
      <c r="A110" s="9" t="s">
        <v>97</v>
      </c>
      <c r="B110" s="10" t="s">
        <v>39</v>
      </c>
      <c r="C110" s="27">
        <v>4326005</v>
      </c>
      <c r="D110" s="27">
        <v>9375840</v>
      </c>
      <c r="E110" s="27">
        <v>13904058</v>
      </c>
      <c r="F110" s="27">
        <v>19178665</v>
      </c>
      <c r="G110" s="27">
        <v>4270150</v>
      </c>
      <c r="H110" s="27">
        <v>9374638</v>
      </c>
      <c r="I110" s="27">
        <v>15151034</v>
      </c>
      <c r="J110" s="28">
        <v>38894822</v>
      </c>
      <c r="K110" s="27">
        <v>9254584</v>
      </c>
      <c r="L110" s="27">
        <v>20153031</v>
      </c>
      <c r="M110" s="27">
        <v>30837255</v>
      </c>
      <c r="N110" s="28">
        <v>44144132</v>
      </c>
      <c r="O110" s="27">
        <v>10949813</v>
      </c>
      <c r="P110" s="27">
        <v>20239505</v>
      </c>
      <c r="Q110" s="27">
        <v>32485011</v>
      </c>
      <c r="R110" s="28">
        <v>47980096</v>
      </c>
      <c r="S110" s="27">
        <v>10435606</v>
      </c>
      <c r="T110" s="27">
        <v>24825388</v>
      </c>
      <c r="U110" s="27">
        <v>38361289</v>
      </c>
      <c r="V110" s="28">
        <v>53065846</v>
      </c>
      <c r="W110" s="27">
        <v>11763469</v>
      </c>
      <c r="X110" s="27">
        <v>25770300</v>
      </c>
      <c r="Y110" s="27">
        <v>38983997</v>
      </c>
      <c r="Z110" s="28">
        <v>54027027</v>
      </c>
      <c r="AA110" s="27">
        <v>11088017</v>
      </c>
      <c r="AB110" s="27">
        <v>25530659</v>
      </c>
      <c r="AC110" s="27">
        <v>38095880</v>
      </c>
      <c r="AD110" s="28">
        <v>51993932</v>
      </c>
      <c r="AE110" s="27">
        <v>11847587</v>
      </c>
      <c r="AF110" s="27">
        <v>25795702</v>
      </c>
      <c r="AG110" s="27">
        <v>38814314</v>
      </c>
      <c r="AH110" s="28">
        <v>55797925</v>
      </c>
      <c r="AI110" s="27">
        <v>15866009</v>
      </c>
      <c r="AJ110" s="27">
        <v>32947295</v>
      </c>
      <c r="AK110" s="27">
        <v>48709047</v>
      </c>
      <c r="AL110" s="28">
        <v>66651781</v>
      </c>
    </row>
    <row r="111" spans="1:38" x14ac:dyDescent="0.2">
      <c r="A111" s="18" t="s">
        <v>98</v>
      </c>
      <c r="B111" s="19" t="s">
        <v>39</v>
      </c>
      <c r="C111" s="29">
        <v>224170</v>
      </c>
      <c r="D111" s="29">
        <v>424862</v>
      </c>
      <c r="E111" s="29">
        <v>497049</v>
      </c>
      <c r="F111" s="30">
        <v>654304</v>
      </c>
      <c r="G111" s="29">
        <v>192968</v>
      </c>
      <c r="H111" s="29">
        <v>370246</v>
      </c>
      <c r="I111" s="29">
        <v>551205</v>
      </c>
      <c r="J111" s="30">
        <v>765007</v>
      </c>
      <c r="K111" s="29">
        <v>188601</v>
      </c>
      <c r="L111" s="29">
        <v>370484</v>
      </c>
      <c r="M111" s="29">
        <v>585845</v>
      </c>
      <c r="N111" s="30">
        <v>847936</v>
      </c>
      <c r="O111" s="29">
        <v>244696</v>
      </c>
      <c r="P111" s="29">
        <v>519547</v>
      </c>
      <c r="Q111" s="29">
        <v>819482</v>
      </c>
      <c r="R111" s="30">
        <v>1112356</v>
      </c>
      <c r="S111" s="29">
        <v>321602</v>
      </c>
      <c r="T111" s="29">
        <v>633281</v>
      </c>
      <c r="U111" s="29">
        <v>969791</v>
      </c>
      <c r="V111" s="30">
        <v>1865884</v>
      </c>
      <c r="W111" s="29">
        <v>454423</v>
      </c>
      <c r="X111" s="29">
        <v>903353</v>
      </c>
      <c r="Y111" s="29">
        <v>1311592</v>
      </c>
      <c r="Z111" s="30">
        <v>1754912</v>
      </c>
      <c r="AA111" s="29">
        <v>428754</v>
      </c>
      <c r="AB111" s="29">
        <v>1305307</v>
      </c>
      <c r="AC111" s="29">
        <v>1310774</v>
      </c>
      <c r="AD111" s="30">
        <v>1827921</v>
      </c>
      <c r="AE111" s="29">
        <v>474001</v>
      </c>
      <c r="AF111" s="29">
        <v>955769</v>
      </c>
      <c r="AG111" s="29">
        <v>1634984</v>
      </c>
      <c r="AH111" s="30">
        <v>3298677</v>
      </c>
      <c r="AI111" s="29">
        <v>624416</v>
      </c>
      <c r="AJ111" s="29">
        <v>1177433</v>
      </c>
      <c r="AK111" s="29">
        <v>1824697</v>
      </c>
      <c r="AL111" s="30">
        <v>2506373</v>
      </c>
    </row>
    <row r="112" spans="1:38" x14ac:dyDescent="0.2">
      <c r="A112" s="13" t="s">
        <v>46</v>
      </c>
      <c r="B112" s="6" t="s">
        <v>39</v>
      </c>
      <c r="C112" s="22" t="s">
        <v>47</v>
      </c>
      <c r="D112" s="22" t="s">
        <v>47</v>
      </c>
      <c r="E112" s="22" t="s">
        <v>47</v>
      </c>
      <c r="F112" s="23" t="s">
        <v>47</v>
      </c>
      <c r="G112" s="22" t="s">
        <v>47</v>
      </c>
      <c r="H112" s="22" t="s">
        <v>47</v>
      </c>
      <c r="I112" s="22" t="s">
        <v>47</v>
      </c>
      <c r="J112" s="23" t="s">
        <v>47</v>
      </c>
      <c r="K112" s="22" t="s">
        <v>47</v>
      </c>
      <c r="L112" s="22" t="s">
        <v>47</v>
      </c>
      <c r="M112" s="22" t="s">
        <v>47</v>
      </c>
      <c r="N112" s="23" t="s">
        <v>47</v>
      </c>
      <c r="O112" s="22" t="s">
        <v>47</v>
      </c>
      <c r="P112" s="22" t="s">
        <v>47</v>
      </c>
      <c r="Q112" s="22" t="s">
        <v>47</v>
      </c>
      <c r="R112" s="23" t="s">
        <v>47</v>
      </c>
      <c r="S112" s="22" t="s">
        <v>47</v>
      </c>
      <c r="T112" s="22" t="s">
        <v>47</v>
      </c>
      <c r="U112" s="22" t="s">
        <v>47</v>
      </c>
      <c r="V112" s="23">
        <v>847928</v>
      </c>
      <c r="W112" s="22">
        <v>201345</v>
      </c>
      <c r="X112" s="22">
        <v>366807</v>
      </c>
      <c r="Y112" s="22">
        <v>532071</v>
      </c>
      <c r="Z112" s="23">
        <v>729800</v>
      </c>
      <c r="AA112" s="22">
        <v>173195</v>
      </c>
      <c r="AB112" s="22">
        <v>687362</v>
      </c>
      <c r="AC112" s="22">
        <v>488683</v>
      </c>
      <c r="AD112" s="23">
        <v>670521</v>
      </c>
      <c r="AE112" s="22">
        <v>171204</v>
      </c>
      <c r="AF112" s="22">
        <v>341383</v>
      </c>
      <c r="AG112" s="22">
        <v>639341</v>
      </c>
      <c r="AH112" s="23">
        <v>1668309</v>
      </c>
      <c r="AI112" s="22">
        <v>243386</v>
      </c>
      <c r="AJ112" s="22">
        <v>435601</v>
      </c>
      <c r="AK112" s="22">
        <v>673844</v>
      </c>
      <c r="AL112" s="23">
        <v>866228</v>
      </c>
    </row>
    <row r="113" spans="1:38" x14ac:dyDescent="0.2">
      <c r="A113" s="13" t="s">
        <v>48</v>
      </c>
      <c r="B113" s="6" t="s">
        <v>39</v>
      </c>
      <c r="C113" s="22" t="s">
        <v>47</v>
      </c>
      <c r="D113" s="22" t="s">
        <v>47</v>
      </c>
      <c r="E113" s="22" t="s">
        <v>47</v>
      </c>
      <c r="F113" s="23" t="s">
        <v>47</v>
      </c>
      <c r="G113" s="22" t="s">
        <v>47</v>
      </c>
      <c r="H113" s="22" t="s">
        <v>47</v>
      </c>
      <c r="I113" s="22" t="s">
        <v>47</v>
      </c>
      <c r="J113" s="23" t="s">
        <v>47</v>
      </c>
      <c r="K113" s="22" t="s">
        <v>47</v>
      </c>
      <c r="L113" s="22" t="s">
        <v>47</v>
      </c>
      <c r="M113" s="22" t="s">
        <v>47</v>
      </c>
      <c r="N113" s="23" t="s">
        <v>47</v>
      </c>
      <c r="O113" s="22" t="s">
        <v>47</v>
      </c>
      <c r="P113" s="22" t="s">
        <v>47</v>
      </c>
      <c r="Q113" s="22" t="s">
        <v>47</v>
      </c>
      <c r="R113" s="23" t="s">
        <v>47</v>
      </c>
      <c r="S113" s="22" t="s">
        <v>47</v>
      </c>
      <c r="T113" s="22" t="s">
        <v>47</v>
      </c>
      <c r="U113" s="22" t="s">
        <v>47</v>
      </c>
      <c r="V113" s="23">
        <v>209418</v>
      </c>
      <c r="W113" s="22">
        <v>45652</v>
      </c>
      <c r="X113" s="22">
        <v>107869</v>
      </c>
      <c r="Y113" s="22">
        <v>132238</v>
      </c>
      <c r="Z113" s="23">
        <v>174113</v>
      </c>
      <c r="AA113" s="22">
        <v>18690</v>
      </c>
      <c r="AB113" s="22">
        <v>77198</v>
      </c>
      <c r="AC113" s="22">
        <v>118489</v>
      </c>
      <c r="AD113" s="23">
        <v>164831</v>
      </c>
      <c r="AE113" s="22">
        <v>41324</v>
      </c>
      <c r="AF113" s="22">
        <v>78961</v>
      </c>
      <c r="AG113" s="22">
        <v>114236</v>
      </c>
      <c r="AH113" s="23">
        <v>150333</v>
      </c>
      <c r="AI113" s="22">
        <v>31318</v>
      </c>
      <c r="AJ113" s="22">
        <v>63045</v>
      </c>
      <c r="AK113" s="22">
        <v>97894</v>
      </c>
      <c r="AL113" s="23">
        <v>133090</v>
      </c>
    </row>
    <row r="114" spans="1:38" x14ac:dyDescent="0.2">
      <c r="A114" s="13" t="s">
        <v>49</v>
      </c>
      <c r="B114" s="6" t="s">
        <v>39</v>
      </c>
      <c r="C114" s="22" t="s">
        <v>47</v>
      </c>
      <c r="D114" s="22" t="s">
        <v>47</v>
      </c>
      <c r="E114" s="22" t="s">
        <v>47</v>
      </c>
      <c r="F114" s="23" t="s">
        <v>47</v>
      </c>
      <c r="G114" s="22" t="s">
        <v>47</v>
      </c>
      <c r="H114" s="22" t="s">
        <v>47</v>
      </c>
      <c r="I114" s="22" t="s">
        <v>47</v>
      </c>
      <c r="J114" s="23" t="s">
        <v>47</v>
      </c>
      <c r="K114" s="22" t="s">
        <v>47</v>
      </c>
      <c r="L114" s="22" t="s">
        <v>47</v>
      </c>
      <c r="M114" s="22" t="s">
        <v>47</v>
      </c>
      <c r="N114" s="23" t="s">
        <v>47</v>
      </c>
      <c r="O114" s="22" t="s">
        <v>47</v>
      </c>
      <c r="P114" s="22" t="s">
        <v>47</v>
      </c>
      <c r="Q114" s="22" t="s">
        <v>47</v>
      </c>
      <c r="R114" s="23" t="s">
        <v>47</v>
      </c>
      <c r="S114" s="22" t="s">
        <v>47</v>
      </c>
      <c r="T114" s="22" t="s">
        <v>47</v>
      </c>
      <c r="U114" s="22" t="s">
        <v>47</v>
      </c>
      <c r="V114" s="23">
        <v>251953</v>
      </c>
      <c r="W114" s="22">
        <v>70576</v>
      </c>
      <c r="X114" s="22">
        <v>158582</v>
      </c>
      <c r="Y114" s="22">
        <v>247976</v>
      </c>
      <c r="Z114" s="23">
        <v>322186</v>
      </c>
      <c r="AA114" s="22">
        <v>89259</v>
      </c>
      <c r="AB114" s="22">
        <v>252916</v>
      </c>
      <c r="AC114" s="22">
        <v>283113</v>
      </c>
      <c r="AD114" s="23">
        <v>413429</v>
      </c>
      <c r="AE114" s="22">
        <v>117045</v>
      </c>
      <c r="AF114" s="22">
        <v>252650</v>
      </c>
      <c r="AG114" s="22">
        <v>458543</v>
      </c>
      <c r="AH114" s="23">
        <v>898384</v>
      </c>
      <c r="AI114" s="22">
        <v>202291</v>
      </c>
      <c r="AJ114" s="22">
        <v>394304</v>
      </c>
      <c r="AK114" s="22">
        <v>633609</v>
      </c>
      <c r="AL114" s="23">
        <v>931039</v>
      </c>
    </row>
    <row r="115" spans="1:38" x14ac:dyDescent="0.2">
      <c r="A115" s="13" t="s">
        <v>50</v>
      </c>
      <c r="B115" s="6" t="s">
        <v>39</v>
      </c>
      <c r="C115" s="22" t="s">
        <v>47</v>
      </c>
      <c r="D115" s="22" t="s">
        <v>47</v>
      </c>
      <c r="E115" s="22" t="s">
        <v>47</v>
      </c>
      <c r="F115" s="23" t="s">
        <v>47</v>
      </c>
      <c r="G115" s="22" t="s">
        <v>47</v>
      </c>
      <c r="H115" s="22" t="s">
        <v>47</v>
      </c>
      <c r="I115" s="22" t="s">
        <v>47</v>
      </c>
      <c r="J115" s="23" t="s">
        <v>47</v>
      </c>
      <c r="K115" s="22" t="s">
        <v>47</v>
      </c>
      <c r="L115" s="22" t="s">
        <v>47</v>
      </c>
      <c r="M115" s="22" t="s">
        <v>47</v>
      </c>
      <c r="N115" s="23" t="s">
        <v>47</v>
      </c>
      <c r="O115" s="22" t="s">
        <v>47</v>
      </c>
      <c r="P115" s="22" t="s">
        <v>47</v>
      </c>
      <c r="Q115" s="22" t="s">
        <v>47</v>
      </c>
      <c r="R115" s="23" t="s">
        <v>47</v>
      </c>
      <c r="S115" s="22" t="s">
        <v>47</v>
      </c>
      <c r="T115" s="22" t="s">
        <v>47</v>
      </c>
      <c r="U115" s="22" t="s">
        <v>47</v>
      </c>
      <c r="V115" s="23">
        <v>7310</v>
      </c>
      <c r="W115" s="22">
        <v>2326</v>
      </c>
      <c r="X115" s="22">
        <v>4151</v>
      </c>
      <c r="Y115" s="22">
        <v>5996</v>
      </c>
      <c r="Z115" s="23">
        <v>8446</v>
      </c>
      <c r="AA115" s="22">
        <v>2278</v>
      </c>
      <c r="AB115" s="22">
        <v>3960</v>
      </c>
      <c r="AC115" s="22">
        <v>5374</v>
      </c>
      <c r="AD115" s="23">
        <v>7295</v>
      </c>
      <c r="AE115" s="22">
        <v>1645</v>
      </c>
      <c r="AF115" s="22">
        <v>2962</v>
      </c>
      <c r="AG115" s="22">
        <v>4246</v>
      </c>
      <c r="AH115" s="23">
        <v>5726</v>
      </c>
      <c r="AI115" s="22">
        <v>1191</v>
      </c>
      <c r="AJ115" s="22">
        <v>2419</v>
      </c>
      <c r="AK115" s="22">
        <v>3960</v>
      </c>
      <c r="AL115" s="23">
        <v>4750</v>
      </c>
    </row>
    <row r="116" spans="1:38" x14ac:dyDescent="0.2">
      <c r="A116" s="13" t="s">
        <v>51</v>
      </c>
      <c r="B116" s="6" t="s">
        <v>39</v>
      </c>
      <c r="C116" s="22" t="s">
        <v>47</v>
      </c>
      <c r="D116" s="22" t="s">
        <v>47</v>
      </c>
      <c r="E116" s="22" t="s">
        <v>47</v>
      </c>
      <c r="F116" s="23" t="s">
        <v>47</v>
      </c>
      <c r="G116" s="22" t="s">
        <v>47</v>
      </c>
      <c r="H116" s="22" t="s">
        <v>47</v>
      </c>
      <c r="I116" s="22" t="s">
        <v>47</v>
      </c>
      <c r="J116" s="23" t="s">
        <v>47</v>
      </c>
      <c r="K116" s="22" t="s">
        <v>47</v>
      </c>
      <c r="L116" s="22" t="s">
        <v>47</v>
      </c>
      <c r="M116" s="22" t="s">
        <v>47</v>
      </c>
      <c r="N116" s="23" t="s">
        <v>47</v>
      </c>
      <c r="O116" s="22" t="s">
        <v>47</v>
      </c>
      <c r="P116" s="22" t="s">
        <v>47</v>
      </c>
      <c r="Q116" s="22" t="s">
        <v>47</v>
      </c>
      <c r="R116" s="23" t="s">
        <v>47</v>
      </c>
      <c r="S116" s="22" t="s">
        <v>47</v>
      </c>
      <c r="T116" s="22" t="s">
        <v>47</v>
      </c>
      <c r="U116" s="22" t="s">
        <v>47</v>
      </c>
      <c r="V116" s="23">
        <v>11331</v>
      </c>
      <c r="W116" s="22">
        <v>2732</v>
      </c>
      <c r="X116" s="22">
        <v>5144</v>
      </c>
      <c r="Y116" s="22">
        <v>7462</v>
      </c>
      <c r="Z116" s="23">
        <v>9952</v>
      </c>
      <c r="AA116" s="22">
        <v>2484</v>
      </c>
      <c r="AB116" s="22">
        <v>4917</v>
      </c>
      <c r="AC116" s="22">
        <v>7433</v>
      </c>
      <c r="AD116" s="23">
        <v>10048</v>
      </c>
      <c r="AE116" s="22">
        <v>2806</v>
      </c>
      <c r="AF116" s="22">
        <v>5571</v>
      </c>
      <c r="AG116" s="22">
        <v>8369</v>
      </c>
      <c r="AH116" s="23">
        <v>11285</v>
      </c>
      <c r="AI116" s="22">
        <v>3106</v>
      </c>
      <c r="AJ116" s="22">
        <v>6272</v>
      </c>
      <c r="AK116" s="22">
        <v>9459</v>
      </c>
      <c r="AL116" s="23">
        <v>16064</v>
      </c>
    </row>
    <row r="117" spans="1:38" x14ac:dyDescent="0.2">
      <c r="A117" s="13" t="s">
        <v>99</v>
      </c>
      <c r="B117" s="6" t="s">
        <v>39</v>
      </c>
      <c r="C117" s="22">
        <v>122023</v>
      </c>
      <c r="D117" s="22">
        <v>239785</v>
      </c>
      <c r="E117" s="22">
        <v>357717</v>
      </c>
      <c r="F117" s="23">
        <v>477163</v>
      </c>
      <c r="G117" s="22">
        <v>118371</v>
      </c>
      <c r="H117" s="22">
        <v>237505</v>
      </c>
      <c r="I117" s="22">
        <v>352648</v>
      </c>
      <c r="J117" s="23">
        <v>478053</v>
      </c>
      <c r="K117" s="22">
        <v>118349</v>
      </c>
      <c r="L117" s="22">
        <v>235250</v>
      </c>
      <c r="M117" s="22">
        <v>347935</v>
      </c>
      <c r="N117" s="23">
        <v>481855</v>
      </c>
      <c r="O117" s="22">
        <v>128409</v>
      </c>
      <c r="P117" s="22">
        <v>249385</v>
      </c>
      <c r="Q117" s="22">
        <v>389932</v>
      </c>
      <c r="R117" s="23">
        <v>512436</v>
      </c>
      <c r="S117" s="22">
        <v>134312</v>
      </c>
      <c r="T117" s="22">
        <v>261896</v>
      </c>
      <c r="U117" s="22">
        <v>389733</v>
      </c>
      <c r="V117" s="23">
        <v>537944</v>
      </c>
      <c r="W117" s="22">
        <v>131792</v>
      </c>
      <c r="X117" s="22">
        <v>260800</v>
      </c>
      <c r="Y117" s="22">
        <v>385849</v>
      </c>
      <c r="Z117" s="23">
        <v>510415</v>
      </c>
      <c r="AA117" s="22">
        <v>142848</v>
      </c>
      <c r="AB117" s="22">
        <v>278954</v>
      </c>
      <c r="AC117" s="22">
        <v>407682</v>
      </c>
      <c r="AD117" s="23">
        <v>561797</v>
      </c>
      <c r="AE117" s="22">
        <v>139977</v>
      </c>
      <c r="AF117" s="22">
        <v>274242</v>
      </c>
      <c r="AG117" s="22">
        <v>410249</v>
      </c>
      <c r="AH117" s="23">
        <v>564640</v>
      </c>
      <c r="AI117" s="22">
        <v>143124</v>
      </c>
      <c r="AJ117" s="22">
        <v>275792</v>
      </c>
      <c r="AK117" s="22">
        <v>404662</v>
      </c>
      <c r="AL117" s="23">
        <v>548296</v>
      </c>
    </row>
    <row r="118" spans="1:38" x14ac:dyDescent="0.2">
      <c r="A118" s="18" t="s">
        <v>100</v>
      </c>
      <c r="B118" s="19" t="s">
        <v>39</v>
      </c>
      <c r="C118" s="29">
        <v>76694</v>
      </c>
      <c r="D118" s="29">
        <v>169790</v>
      </c>
      <c r="E118" s="29">
        <v>274991</v>
      </c>
      <c r="F118" s="30">
        <v>385891</v>
      </c>
      <c r="G118" s="29">
        <v>98502</v>
      </c>
      <c r="H118" s="29">
        <v>301914</v>
      </c>
      <c r="I118" s="29">
        <v>330481</v>
      </c>
      <c r="J118" s="30">
        <v>452048</v>
      </c>
      <c r="K118" s="29">
        <v>89120</v>
      </c>
      <c r="L118" s="29">
        <v>182018</v>
      </c>
      <c r="M118" s="29">
        <v>250379</v>
      </c>
      <c r="N118" s="30">
        <v>335214</v>
      </c>
      <c r="O118" s="29">
        <v>86297</v>
      </c>
      <c r="P118" s="29">
        <v>147446</v>
      </c>
      <c r="Q118" s="29">
        <v>219037</v>
      </c>
      <c r="R118" s="30">
        <v>301180</v>
      </c>
      <c r="S118" s="29">
        <v>80528</v>
      </c>
      <c r="T118" s="29">
        <v>161722</v>
      </c>
      <c r="U118" s="29">
        <v>248611</v>
      </c>
      <c r="V118" s="30">
        <v>344284</v>
      </c>
      <c r="W118" s="29">
        <v>86665</v>
      </c>
      <c r="X118" s="29">
        <v>179086</v>
      </c>
      <c r="Y118" s="29">
        <v>277127</v>
      </c>
      <c r="Z118" s="30">
        <v>380461</v>
      </c>
      <c r="AA118" s="29">
        <v>86664</v>
      </c>
      <c r="AB118" s="29">
        <v>176913</v>
      </c>
      <c r="AC118" s="29">
        <v>271296</v>
      </c>
      <c r="AD118" s="30">
        <v>372927</v>
      </c>
      <c r="AE118" s="29">
        <v>88490</v>
      </c>
      <c r="AF118" s="29">
        <v>182063</v>
      </c>
      <c r="AG118" s="29">
        <v>282546</v>
      </c>
      <c r="AH118" s="30">
        <v>392890</v>
      </c>
      <c r="AI118" s="29">
        <v>102282</v>
      </c>
      <c r="AJ118" s="29">
        <v>201987</v>
      </c>
      <c r="AK118" s="29">
        <v>301981</v>
      </c>
      <c r="AL118" s="30">
        <v>411499</v>
      </c>
    </row>
    <row r="119" spans="1:38" x14ac:dyDescent="0.2">
      <c r="A119" s="18" t="s">
        <v>101</v>
      </c>
      <c r="B119" s="19" t="s">
        <v>39</v>
      </c>
      <c r="C119" s="29">
        <v>2846353</v>
      </c>
      <c r="D119" s="29">
        <v>6441098</v>
      </c>
      <c r="E119" s="29">
        <v>9732552</v>
      </c>
      <c r="F119" s="30">
        <v>13739975</v>
      </c>
      <c r="G119" s="29">
        <v>3094231</v>
      </c>
      <c r="H119" s="29">
        <v>6871101</v>
      </c>
      <c r="I119" s="29">
        <v>11516334</v>
      </c>
      <c r="J119" s="30">
        <v>33934278</v>
      </c>
      <c r="K119" s="29">
        <v>8089238</v>
      </c>
      <c r="L119" s="29">
        <v>17605419</v>
      </c>
      <c r="M119" s="29">
        <v>27321780</v>
      </c>
      <c r="N119" s="30">
        <v>39245088</v>
      </c>
      <c r="O119" s="29">
        <v>9684027</v>
      </c>
      <c r="P119" s="29">
        <v>17878793</v>
      </c>
      <c r="Q119" s="29">
        <v>28891358</v>
      </c>
      <c r="R119" s="30">
        <v>43091647</v>
      </c>
      <c r="S119" s="29">
        <v>9137022</v>
      </c>
      <c r="T119" s="29">
        <v>22090095</v>
      </c>
      <c r="U119" s="29">
        <v>34247811</v>
      </c>
      <c r="V119" s="30">
        <v>47084420</v>
      </c>
      <c r="W119" s="29">
        <v>10268377</v>
      </c>
      <c r="X119" s="29">
        <v>22761827</v>
      </c>
      <c r="Y119" s="29">
        <v>34507548</v>
      </c>
      <c r="Z119" s="30">
        <v>48063573</v>
      </c>
      <c r="AA119" s="29">
        <v>9729300</v>
      </c>
      <c r="AB119" s="29">
        <v>22308962</v>
      </c>
      <c r="AC119" s="29">
        <v>33911860</v>
      </c>
      <c r="AD119" s="30">
        <v>46332690</v>
      </c>
      <c r="AE119" s="29">
        <v>10256640</v>
      </c>
      <c r="AF119" s="29">
        <v>22713986</v>
      </c>
      <c r="AG119" s="29">
        <v>34144298</v>
      </c>
      <c r="AH119" s="30">
        <v>48246700</v>
      </c>
      <c r="AI119" s="29">
        <v>14205719</v>
      </c>
      <c r="AJ119" s="29">
        <v>29605865</v>
      </c>
      <c r="AK119" s="29">
        <v>43584183</v>
      </c>
      <c r="AL119" s="30">
        <v>59669726</v>
      </c>
    </row>
    <row r="120" spans="1:38" x14ac:dyDescent="0.2">
      <c r="A120" s="18" t="s">
        <v>102</v>
      </c>
      <c r="B120" s="19" t="s">
        <v>39</v>
      </c>
      <c r="C120" s="29">
        <v>231415</v>
      </c>
      <c r="D120" s="29">
        <v>487117</v>
      </c>
      <c r="E120" s="29">
        <v>734865</v>
      </c>
      <c r="F120" s="30">
        <v>976432</v>
      </c>
      <c r="G120" s="29">
        <v>194941</v>
      </c>
      <c r="H120" s="29">
        <v>429163</v>
      </c>
      <c r="I120" s="29">
        <v>664237</v>
      </c>
      <c r="J120" s="30">
        <v>907291</v>
      </c>
      <c r="K120" s="29">
        <v>196133</v>
      </c>
      <c r="L120" s="29">
        <v>432838</v>
      </c>
      <c r="M120" s="29">
        <v>681553</v>
      </c>
      <c r="N120" s="30">
        <v>945442</v>
      </c>
      <c r="O120" s="29">
        <v>223896</v>
      </c>
      <c r="P120" s="29">
        <v>399826</v>
      </c>
      <c r="Q120" s="29">
        <v>643005</v>
      </c>
      <c r="R120" s="30">
        <v>897968</v>
      </c>
      <c r="S120" s="29">
        <v>200621</v>
      </c>
      <c r="T120" s="29">
        <v>439619</v>
      </c>
      <c r="U120" s="29">
        <v>698022</v>
      </c>
      <c r="V120" s="30">
        <v>948016</v>
      </c>
      <c r="W120" s="29">
        <v>224135</v>
      </c>
      <c r="X120" s="29">
        <v>474591</v>
      </c>
      <c r="Y120" s="29">
        <v>714702</v>
      </c>
      <c r="Z120" s="30">
        <v>947827</v>
      </c>
      <c r="AA120" s="29">
        <v>197963</v>
      </c>
      <c r="AB120" s="29">
        <v>407379</v>
      </c>
      <c r="AC120" s="29">
        <v>610115</v>
      </c>
      <c r="AD120" s="30">
        <v>810872</v>
      </c>
      <c r="AE120" s="29">
        <v>184075</v>
      </c>
      <c r="AF120" s="29">
        <v>390873</v>
      </c>
      <c r="AG120" s="29">
        <v>615151</v>
      </c>
      <c r="AH120" s="30">
        <v>872847</v>
      </c>
      <c r="AI120" s="29">
        <v>233379</v>
      </c>
      <c r="AJ120" s="29">
        <v>489242</v>
      </c>
      <c r="AK120" s="29">
        <v>758780</v>
      </c>
      <c r="AL120" s="30">
        <v>1041468</v>
      </c>
    </row>
    <row r="121" spans="1:38" x14ac:dyDescent="0.2">
      <c r="A121" s="18" t="s">
        <v>56</v>
      </c>
      <c r="B121" s="19" t="s">
        <v>39</v>
      </c>
      <c r="C121" s="29">
        <v>4233</v>
      </c>
      <c r="D121" s="29">
        <v>8455</v>
      </c>
      <c r="E121" s="29">
        <v>13192</v>
      </c>
      <c r="F121" s="30">
        <v>19502</v>
      </c>
      <c r="G121" s="29">
        <v>3678</v>
      </c>
      <c r="H121" s="29">
        <v>8986</v>
      </c>
      <c r="I121" s="29">
        <v>13174</v>
      </c>
      <c r="J121" s="30">
        <v>18078</v>
      </c>
      <c r="K121" s="29">
        <v>3412</v>
      </c>
      <c r="L121" s="29">
        <v>6516</v>
      </c>
      <c r="M121" s="29">
        <v>9658</v>
      </c>
      <c r="N121" s="30">
        <v>13684</v>
      </c>
      <c r="O121" s="29">
        <v>3796</v>
      </c>
      <c r="P121" s="29">
        <v>6367</v>
      </c>
      <c r="Q121" s="29">
        <v>10033</v>
      </c>
      <c r="R121" s="30">
        <v>13895</v>
      </c>
      <c r="S121" s="29">
        <v>3600</v>
      </c>
      <c r="T121" s="29">
        <v>7701</v>
      </c>
      <c r="U121" s="29">
        <v>10647</v>
      </c>
      <c r="V121" s="30">
        <v>15276</v>
      </c>
      <c r="W121" s="29">
        <v>3266</v>
      </c>
      <c r="X121" s="29">
        <v>7281</v>
      </c>
      <c r="Y121" s="29">
        <v>11771</v>
      </c>
      <c r="Z121" s="30">
        <v>16432</v>
      </c>
      <c r="AA121" s="29">
        <v>3636</v>
      </c>
      <c r="AB121" s="29">
        <v>7918</v>
      </c>
      <c r="AC121" s="29">
        <v>11694</v>
      </c>
      <c r="AD121" s="30">
        <v>16275</v>
      </c>
      <c r="AE121" s="29">
        <v>4176</v>
      </c>
      <c r="AF121" s="29">
        <v>9002</v>
      </c>
      <c r="AG121" s="29">
        <v>16511</v>
      </c>
      <c r="AH121" s="30">
        <v>22585</v>
      </c>
      <c r="AI121" s="29">
        <v>5290</v>
      </c>
      <c r="AJ121" s="29">
        <v>10632</v>
      </c>
      <c r="AK121" s="29">
        <v>16517</v>
      </c>
      <c r="AL121" s="30">
        <v>23145</v>
      </c>
    </row>
    <row r="122" spans="1:38" x14ac:dyDescent="0.2">
      <c r="A122" s="18" t="s">
        <v>57</v>
      </c>
      <c r="B122" s="19" t="s">
        <v>39</v>
      </c>
      <c r="C122" s="29">
        <v>49374</v>
      </c>
      <c r="D122" s="29">
        <v>100430</v>
      </c>
      <c r="E122" s="29">
        <v>157911</v>
      </c>
      <c r="F122" s="30">
        <v>209692</v>
      </c>
      <c r="G122" s="29">
        <v>52163</v>
      </c>
      <c r="H122" s="29">
        <v>103656</v>
      </c>
      <c r="I122" s="29">
        <v>155030</v>
      </c>
      <c r="J122" s="30">
        <v>210930</v>
      </c>
      <c r="K122" s="29">
        <v>39014</v>
      </c>
      <c r="L122" s="29">
        <v>74240</v>
      </c>
      <c r="M122" s="29">
        <v>120063</v>
      </c>
      <c r="N122" s="30">
        <v>173300</v>
      </c>
      <c r="O122" s="29">
        <v>37427</v>
      </c>
      <c r="P122" s="29">
        <v>80874</v>
      </c>
      <c r="Q122" s="29">
        <v>135615</v>
      </c>
      <c r="R122" s="30">
        <v>187638</v>
      </c>
      <c r="S122" s="29">
        <v>41018</v>
      </c>
      <c r="T122" s="29">
        <v>94147</v>
      </c>
      <c r="U122" s="29">
        <v>143044</v>
      </c>
      <c r="V122" s="30">
        <v>188432</v>
      </c>
      <c r="W122" s="29">
        <v>46077</v>
      </c>
      <c r="X122" s="29">
        <v>106216</v>
      </c>
      <c r="Y122" s="29">
        <v>186979</v>
      </c>
      <c r="Z122" s="30">
        <v>236925</v>
      </c>
      <c r="AA122" s="29">
        <v>45537</v>
      </c>
      <c r="AB122" s="29">
        <v>96987</v>
      </c>
      <c r="AC122" s="29">
        <v>149891</v>
      </c>
      <c r="AD122" s="30">
        <v>201779</v>
      </c>
      <c r="AE122" s="29">
        <v>61404</v>
      </c>
      <c r="AF122" s="29">
        <v>129698</v>
      </c>
      <c r="AG122" s="29">
        <v>206501</v>
      </c>
      <c r="AH122" s="30">
        <v>274675</v>
      </c>
      <c r="AI122" s="29">
        <v>54720</v>
      </c>
      <c r="AJ122" s="29">
        <v>114795</v>
      </c>
      <c r="AK122" s="29">
        <v>176903</v>
      </c>
      <c r="AL122" s="30">
        <v>228783</v>
      </c>
    </row>
    <row r="123" spans="1:38" x14ac:dyDescent="0.2">
      <c r="A123" s="18" t="s">
        <v>103</v>
      </c>
      <c r="B123" s="19" t="s">
        <v>39</v>
      </c>
      <c r="C123" s="29">
        <v>844201</v>
      </c>
      <c r="D123" s="29">
        <v>1638624</v>
      </c>
      <c r="E123" s="29">
        <v>2321263</v>
      </c>
      <c r="F123" s="30">
        <v>2949025</v>
      </c>
      <c r="G123" s="29">
        <v>582149</v>
      </c>
      <c r="H123" s="29">
        <v>1187383</v>
      </c>
      <c r="I123" s="29">
        <v>1752616</v>
      </c>
      <c r="J123" s="30">
        <v>2369375</v>
      </c>
      <c r="K123" s="29">
        <v>591821</v>
      </c>
      <c r="L123" s="29">
        <v>1360762</v>
      </c>
      <c r="M123" s="29">
        <v>1667398</v>
      </c>
      <c r="N123" s="30">
        <v>2293388</v>
      </c>
      <c r="O123" s="29">
        <v>596061</v>
      </c>
      <c r="P123" s="29">
        <v>1074058</v>
      </c>
      <c r="Q123" s="29">
        <v>1560558</v>
      </c>
      <c r="R123" s="30">
        <v>2070686</v>
      </c>
      <c r="S123" s="29">
        <v>560342</v>
      </c>
      <c r="T123" s="29">
        <v>1162535</v>
      </c>
      <c r="U123" s="29">
        <v>1701912</v>
      </c>
      <c r="V123" s="30">
        <v>2151231</v>
      </c>
      <c r="W123" s="29">
        <v>587069</v>
      </c>
      <c r="X123" s="29">
        <v>1170059</v>
      </c>
      <c r="Y123" s="29">
        <v>1721075</v>
      </c>
      <c r="Z123" s="30">
        <v>2283943</v>
      </c>
      <c r="AA123" s="29">
        <v>516223</v>
      </c>
      <c r="AB123" s="29">
        <v>1043184</v>
      </c>
      <c r="AC123" s="29">
        <v>1545370</v>
      </c>
      <c r="AD123" s="30">
        <v>2047108</v>
      </c>
      <c r="AE123" s="29">
        <v>681401</v>
      </c>
      <c r="AF123" s="29">
        <v>1203498</v>
      </c>
      <c r="AG123" s="29">
        <v>1585312</v>
      </c>
      <c r="AH123" s="30">
        <v>2216610</v>
      </c>
      <c r="AI123" s="29">
        <v>506545</v>
      </c>
      <c r="AJ123" s="29">
        <v>1071540</v>
      </c>
      <c r="AK123" s="29">
        <v>1570408</v>
      </c>
      <c r="AL123" s="30">
        <v>2086076</v>
      </c>
    </row>
    <row r="124" spans="1:38" x14ac:dyDescent="0.2">
      <c r="A124" s="18" t="s">
        <v>59</v>
      </c>
      <c r="B124" s="19" t="s">
        <v>39</v>
      </c>
      <c r="C124" s="29">
        <v>49565</v>
      </c>
      <c r="D124" s="29">
        <v>105464</v>
      </c>
      <c r="E124" s="29">
        <v>172235</v>
      </c>
      <c r="F124" s="30">
        <v>243844</v>
      </c>
      <c r="G124" s="29">
        <v>51518</v>
      </c>
      <c r="H124" s="29">
        <v>102189</v>
      </c>
      <c r="I124" s="29">
        <v>167957</v>
      </c>
      <c r="J124" s="30">
        <v>237815</v>
      </c>
      <c r="K124" s="29">
        <v>57245</v>
      </c>
      <c r="L124" s="29">
        <v>120754</v>
      </c>
      <c r="M124" s="29">
        <v>200579</v>
      </c>
      <c r="N124" s="30">
        <v>290080</v>
      </c>
      <c r="O124" s="29">
        <v>73613</v>
      </c>
      <c r="P124" s="29">
        <v>132594</v>
      </c>
      <c r="Q124" s="29">
        <v>205923</v>
      </c>
      <c r="R124" s="30">
        <v>304726</v>
      </c>
      <c r="S124" s="29">
        <v>90873</v>
      </c>
      <c r="T124" s="29">
        <v>236288</v>
      </c>
      <c r="U124" s="29">
        <v>341451</v>
      </c>
      <c r="V124" s="30">
        <v>468303</v>
      </c>
      <c r="W124" s="29">
        <v>93457</v>
      </c>
      <c r="X124" s="29">
        <v>167887</v>
      </c>
      <c r="Y124" s="29">
        <v>253203</v>
      </c>
      <c r="Z124" s="30">
        <v>342954</v>
      </c>
      <c r="AA124" s="29">
        <v>79940</v>
      </c>
      <c r="AB124" s="29">
        <v>184009</v>
      </c>
      <c r="AC124" s="29">
        <v>284880</v>
      </c>
      <c r="AD124" s="30">
        <v>384360</v>
      </c>
      <c r="AE124" s="29">
        <v>97400</v>
      </c>
      <c r="AF124" s="29">
        <v>210813</v>
      </c>
      <c r="AG124" s="29">
        <v>329011</v>
      </c>
      <c r="AH124" s="30">
        <v>472941</v>
      </c>
      <c r="AI124" s="29">
        <v>133658</v>
      </c>
      <c r="AJ124" s="29">
        <v>275801</v>
      </c>
      <c r="AK124" s="29">
        <v>475578</v>
      </c>
      <c r="AL124" s="30">
        <v>684711</v>
      </c>
    </row>
    <row r="125" spans="1:38" x14ac:dyDescent="0.2">
      <c r="A125" s="26" t="s">
        <v>104</v>
      </c>
      <c r="B125" s="10" t="s">
        <v>39</v>
      </c>
      <c r="C125" s="27">
        <v>1515947</v>
      </c>
      <c r="D125" s="27">
        <v>2973632</v>
      </c>
      <c r="E125" s="27">
        <v>4283975</v>
      </c>
      <c r="F125" s="28">
        <v>5650102</v>
      </c>
      <c r="G125" s="27">
        <v>1207809</v>
      </c>
      <c r="H125" s="27">
        <v>2530541</v>
      </c>
      <c r="I125" s="27">
        <v>3852445</v>
      </c>
      <c r="J125" s="28">
        <v>5683744</v>
      </c>
      <c r="K125" s="27">
        <v>1251006</v>
      </c>
      <c r="L125" s="27">
        <v>2662867</v>
      </c>
      <c r="M125" s="27">
        <v>3882611</v>
      </c>
      <c r="N125" s="28">
        <v>5442975</v>
      </c>
      <c r="O125" s="27">
        <v>1418581</v>
      </c>
      <c r="P125" s="27">
        <v>2576209</v>
      </c>
      <c r="Q125" s="27">
        <v>3980467</v>
      </c>
      <c r="R125" s="28">
        <v>5498648</v>
      </c>
      <c r="S125" s="27">
        <v>1247441</v>
      </c>
      <c r="T125" s="27">
        <v>2710368</v>
      </c>
      <c r="U125" s="27">
        <v>4218994</v>
      </c>
      <c r="V125" s="28">
        <v>6212186</v>
      </c>
      <c r="W125" s="27">
        <v>1536093</v>
      </c>
      <c r="X125" s="27">
        <v>3150175</v>
      </c>
      <c r="Y125" s="27">
        <v>4733681</v>
      </c>
      <c r="Z125" s="28">
        <v>6436844</v>
      </c>
      <c r="AA125" s="27">
        <v>1521437</v>
      </c>
      <c r="AB125" s="27">
        <v>3627564</v>
      </c>
      <c r="AC125" s="27">
        <v>4922570</v>
      </c>
      <c r="AD125" s="28">
        <v>6713925</v>
      </c>
      <c r="AE125" s="27">
        <v>1679446</v>
      </c>
      <c r="AF125" s="27">
        <v>3338584</v>
      </c>
      <c r="AG125" s="27">
        <v>5117744</v>
      </c>
      <c r="AH125" s="28">
        <v>7650971</v>
      </c>
      <c r="AI125" s="27">
        <v>1976250</v>
      </c>
      <c r="AJ125" s="27">
        <v>4006525</v>
      </c>
      <c r="AK125" s="27">
        <v>6163272</v>
      </c>
      <c r="AL125" s="28">
        <v>8372611</v>
      </c>
    </row>
    <row r="126" spans="1:38" x14ac:dyDescent="0.2">
      <c r="A126" s="26" t="s">
        <v>105</v>
      </c>
      <c r="B126" s="10" t="s">
        <v>39</v>
      </c>
      <c r="C126" s="27">
        <v>2810058</v>
      </c>
      <c r="D126" s="27">
        <v>6402208</v>
      </c>
      <c r="E126" s="27">
        <v>9620083</v>
      </c>
      <c r="F126" s="28">
        <v>13528563</v>
      </c>
      <c r="G126" s="27">
        <v>3062341</v>
      </c>
      <c r="H126" s="27">
        <v>6844097</v>
      </c>
      <c r="I126" s="27">
        <v>11298589</v>
      </c>
      <c r="J126" s="28">
        <v>33211078</v>
      </c>
      <c r="K126" s="27">
        <v>8003578</v>
      </c>
      <c r="L126" s="27">
        <v>17490164</v>
      </c>
      <c r="M126" s="27">
        <v>26954644</v>
      </c>
      <c r="N126" s="28">
        <v>38701157</v>
      </c>
      <c r="O126" s="27">
        <v>9531232</v>
      </c>
      <c r="P126" s="27">
        <v>17663296</v>
      </c>
      <c r="Q126" s="27">
        <v>28504544</v>
      </c>
      <c r="R126" s="28">
        <v>42481448</v>
      </c>
      <c r="S126" s="27">
        <v>9188165</v>
      </c>
      <c r="T126" s="27">
        <v>22115020</v>
      </c>
      <c r="U126" s="27">
        <v>34142295</v>
      </c>
      <c r="V126" s="28">
        <v>46853660</v>
      </c>
      <c r="W126" s="27">
        <v>10227376</v>
      </c>
      <c r="X126" s="27">
        <v>22620125</v>
      </c>
      <c r="Y126" s="27">
        <v>34250316</v>
      </c>
      <c r="Z126" s="28">
        <v>47590183</v>
      </c>
      <c r="AA126" s="27">
        <v>9566580</v>
      </c>
      <c r="AB126" s="27">
        <v>21903095</v>
      </c>
      <c r="AC126" s="27">
        <v>33173310</v>
      </c>
      <c r="AD126" s="28">
        <v>45280007</v>
      </c>
      <c r="AE126" s="27">
        <v>10168141</v>
      </c>
      <c r="AF126" s="27">
        <v>22457118</v>
      </c>
      <c r="AG126" s="27">
        <v>33696570</v>
      </c>
      <c r="AH126" s="28">
        <v>48146954</v>
      </c>
      <c r="AI126" s="27">
        <v>13889759</v>
      </c>
      <c r="AJ126" s="27">
        <v>28940770</v>
      </c>
      <c r="AK126" s="27">
        <v>42545775</v>
      </c>
      <c r="AL126" s="28">
        <v>58279170</v>
      </c>
    </row>
    <row r="127" spans="1:38" x14ac:dyDescent="0.2">
      <c r="A127" s="9" t="s">
        <v>106</v>
      </c>
      <c r="B127" s="10" t="s">
        <v>66</v>
      </c>
      <c r="C127" s="16">
        <v>28.549911754609621</v>
      </c>
      <c r="D127" s="16">
        <v>29.257364140173042</v>
      </c>
      <c r="E127" s="16">
        <v>28.446873135885941</v>
      </c>
      <c r="F127" s="16">
        <v>26.577560325497107</v>
      </c>
      <c r="G127" s="16">
        <v>25.54919636080934</v>
      </c>
      <c r="H127" s="16">
        <v>25.150942671863167</v>
      </c>
      <c r="I127" s="16">
        <v>24.35313055111552</v>
      </c>
      <c r="J127" s="16">
        <v>13.432842344040294</v>
      </c>
      <c r="K127" s="16">
        <v>15.042936940526987</v>
      </c>
      <c r="L127" s="16">
        <v>14.171265827931789</v>
      </c>
      <c r="M127" s="16">
        <v>14.058987309788437</v>
      </c>
      <c r="N127" s="16">
        <v>13.837975557226271</v>
      </c>
      <c r="O127" s="16">
        <v>14.564243666244346</v>
      </c>
      <c r="P127" s="16">
        <v>14.659575499362756</v>
      </c>
      <c r="Q127" s="16">
        <v>14.304768691383234</v>
      </c>
      <c r="R127" s="16">
        <v>13.724139373910173</v>
      </c>
      <c r="S127" s="16">
        <v>17.751949845704218</v>
      </c>
      <c r="T127" s="16">
        <v>15.487780020748115</v>
      </c>
      <c r="U127" s="16">
        <v>15.314886876421957</v>
      </c>
      <c r="V127" s="17">
        <v>15.018583749052448</v>
      </c>
      <c r="W127" s="16">
        <v>17.116411078402976</v>
      </c>
      <c r="X127" s="16">
        <v>16.40188386115296</v>
      </c>
      <c r="Y127" s="16">
        <v>16.593806511698119</v>
      </c>
      <c r="Z127" s="17">
        <v>16.532813849415774</v>
      </c>
      <c r="AA127" s="16">
        <v>22.127752063065021</v>
      </c>
      <c r="AB127" s="16">
        <v>19.372223059234784</v>
      </c>
      <c r="AC127" s="16">
        <v>19.919951823469624</v>
      </c>
      <c r="AD127" s="17">
        <v>20.086629538205919</v>
      </c>
      <c r="AE127" s="16">
        <v>22.960265374411687</v>
      </c>
      <c r="AF127" s="16">
        <v>22.628372027248187</v>
      </c>
      <c r="AG127" s="16">
        <v>26.426005845330923</v>
      </c>
      <c r="AH127" s="17">
        <v>38.510569562910447</v>
      </c>
      <c r="AI127" s="16">
        <v>37.974763676373804</v>
      </c>
      <c r="AJ127" s="16">
        <v>35.174679371013013</v>
      </c>
      <c r="AK127" s="16">
        <v>36.29123361108153</v>
      </c>
      <c r="AL127" s="17">
        <v>38.239329659021564</v>
      </c>
    </row>
    <row r="128" spans="1:38" x14ac:dyDescent="0.2">
      <c r="A128" s="18" t="s">
        <v>45</v>
      </c>
      <c r="B128" s="19" t="s">
        <v>66</v>
      </c>
      <c r="C128" s="20">
        <v>34.745523486639605</v>
      </c>
      <c r="D128" s="20">
        <v>40.308608442270668</v>
      </c>
      <c r="E128" s="20">
        <v>52.704528124993715</v>
      </c>
      <c r="F128" s="20">
        <v>55.764348070621608</v>
      </c>
      <c r="G128" s="20">
        <v>55.325650910202732</v>
      </c>
      <c r="H128" s="20">
        <v>69.24082765172345</v>
      </c>
      <c r="I128" s="20">
        <v>80.913360780744014</v>
      </c>
      <c r="J128" s="20">
        <v>87.673029936980967</v>
      </c>
      <c r="K128" s="20">
        <v>127.66168263582908</v>
      </c>
      <c r="L128" s="20">
        <v>138.89388066407724</v>
      </c>
      <c r="M128" s="20">
        <v>150.8914985939455</v>
      </c>
      <c r="N128" s="20">
        <v>157.32632812412729</v>
      </c>
      <c r="O128" s="20">
        <v>175.76989569281884</v>
      </c>
      <c r="P128" s="20">
        <v>164.95274930601082</v>
      </c>
      <c r="Q128" s="20">
        <v>175.14850288926419</v>
      </c>
      <c r="R128" s="20">
        <v>183.84014368994281</v>
      </c>
      <c r="S128" s="20">
        <v>218.03913951088614</v>
      </c>
      <c r="T128" s="20">
        <v>217.58754760704966</v>
      </c>
      <c r="U128" s="20">
        <v>217.483212824887</v>
      </c>
      <c r="V128" s="21">
        <v>154.52653956165014</v>
      </c>
      <c r="W128" s="20">
        <v>165.02513265904233</v>
      </c>
      <c r="X128" s="20">
        <v>178.24545780982626</v>
      </c>
      <c r="Y128" s="20">
        <v>193.03148033829117</v>
      </c>
      <c r="Z128" s="21">
        <v>200.69411330107155</v>
      </c>
      <c r="AA128" s="20">
        <v>270.19207276818406</v>
      </c>
      <c r="AB128" s="20">
        <v>172.48033330029639</v>
      </c>
      <c r="AC128" s="20">
        <v>260.92902103039881</v>
      </c>
      <c r="AD128" s="21">
        <v>256.64730295136388</v>
      </c>
      <c r="AE128" s="20">
        <v>240.24886582604262</v>
      </c>
      <c r="AF128" s="20">
        <v>262.9336821139313</v>
      </c>
      <c r="AG128" s="20">
        <v>305.77749199794005</v>
      </c>
      <c r="AH128" s="21">
        <v>428.0682928689684</v>
      </c>
      <c r="AI128" s="20">
        <v>645.64816036976947</v>
      </c>
      <c r="AJ128" s="20">
        <v>628.21759181423477</v>
      </c>
      <c r="AK128" s="20">
        <v>619.67726273191101</v>
      </c>
      <c r="AL128" s="21">
        <v>663.41095172876885</v>
      </c>
    </row>
    <row r="129" spans="1:38" x14ac:dyDescent="0.2">
      <c r="A129" s="13" t="s">
        <v>46</v>
      </c>
      <c r="B129" s="6" t="s">
        <v>66</v>
      </c>
      <c r="C129" s="22" t="s">
        <v>47</v>
      </c>
      <c r="D129" s="22" t="s">
        <v>47</v>
      </c>
      <c r="E129" s="22" t="s">
        <v>47</v>
      </c>
      <c r="F129" s="22" t="s">
        <v>47</v>
      </c>
      <c r="G129" s="22" t="s">
        <v>47</v>
      </c>
      <c r="H129" s="22" t="s">
        <v>47</v>
      </c>
      <c r="I129" s="22" t="s">
        <v>47</v>
      </c>
      <c r="J129" s="22" t="s">
        <v>47</v>
      </c>
      <c r="K129" s="22" t="s">
        <v>47</v>
      </c>
      <c r="L129" s="22" t="s">
        <v>47</v>
      </c>
      <c r="M129" s="22" t="s">
        <v>47</v>
      </c>
      <c r="N129" s="22" t="s">
        <v>47</v>
      </c>
      <c r="O129" s="22" t="s">
        <v>47</v>
      </c>
      <c r="P129" s="22" t="s">
        <v>47</v>
      </c>
      <c r="Q129" s="22" t="s">
        <v>47</v>
      </c>
      <c r="R129" s="22" t="s">
        <v>47</v>
      </c>
      <c r="S129" s="22" t="s">
        <v>47</v>
      </c>
      <c r="T129" s="22" t="s">
        <v>47</v>
      </c>
      <c r="U129" s="22" t="s">
        <v>47</v>
      </c>
      <c r="V129" s="25">
        <v>268.79647430952861</v>
      </c>
      <c r="W129" s="24">
        <v>269.83796174536241</v>
      </c>
      <c r="X129" s="24">
        <v>303.51432914295526</v>
      </c>
      <c r="Y129" s="24">
        <v>324.56569791097434</v>
      </c>
      <c r="Z129" s="25">
        <v>335.93814654595775</v>
      </c>
      <c r="AA129" s="24">
        <v>413.00343304292846</v>
      </c>
      <c r="AB129" s="24">
        <v>209.13190297108363</v>
      </c>
      <c r="AC129" s="24">
        <v>443.72503729667284</v>
      </c>
      <c r="AD129" s="25">
        <v>432.82550623668766</v>
      </c>
      <c r="AE129" s="24">
        <v>359.49864039572674</v>
      </c>
      <c r="AF129" s="24">
        <v>374.75346519735905</v>
      </c>
      <c r="AG129" s="24">
        <v>351.24889441531201</v>
      </c>
      <c r="AH129" s="25">
        <v>305.718526603405</v>
      </c>
      <c r="AI129" s="24">
        <v>416.91937771774053</v>
      </c>
      <c r="AJ129" s="24">
        <v>617.65990113803684</v>
      </c>
      <c r="AK129" s="24">
        <v>663.9244052726151</v>
      </c>
      <c r="AL129" s="25">
        <v>729.29258844564015</v>
      </c>
    </row>
    <row r="130" spans="1:38" x14ac:dyDescent="0.2">
      <c r="A130" s="13" t="s">
        <v>48</v>
      </c>
      <c r="B130" s="6" t="s">
        <v>66</v>
      </c>
      <c r="C130" s="22" t="s">
        <v>47</v>
      </c>
      <c r="D130" s="22" t="s">
        <v>47</v>
      </c>
      <c r="E130" s="22" t="s">
        <v>47</v>
      </c>
      <c r="F130" s="23" t="s">
        <v>47</v>
      </c>
      <c r="G130" s="22" t="s">
        <v>47</v>
      </c>
      <c r="H130" s="22" t="s">
        <v>47</v>
      </c>
      <c r="I130" s="22" t="s">
        <v>47</v>
      </c>
      <c r="J130" s="23" t="s">
        <v>47</v>
      </c>
      <c r="K130" s="22" t="s">
        <v>47</v>
      </c>
      <c r="L130" s="22" t="s">
        <v>47</v>
      </c>
      <c r="M130" s="22" t="s">
        <v>47</v>
      </c>
      <c r="N130" s="23" t="s">
        <v>47</v>
      </c>
      <c r="O130" s="22" t="s">
        <v>47</v>
      </c>
      <c r="P130" s="22" t="s">
        <v>47</v>
      </c>
      <c r="Q130" s="22" t="s">
        <v>47</v>
      </c>
      <c r="R130" s="23" t="s">
        <v>47</v>
      </c>
      <c r="S130" s="22" t="s">
        <v>47</v>
      </c>
      <c r="T130" s="22" t="s">
        <v>47</v>
      </c>
      <c r="U130" s="22" t="s">
        <v>47</v>
      </c>
      <c r="V130" s="25">
        <v>77.651364079496503</v>
      </c>
      <c r="W130" s="24">
        <v>95.127343876281429</v>
      </c>
      <c r="X130" s="24">
        <v>88.372534375121674</v>
      </c>
      <c r="Y130" s="24">
        <v>108.68035372487483</v>
      </c>
      <c r="Z130" s="25">
        <v>107.30277552916785</v>
      </c>
      <c r="AA130" s="24">
        <v>241.36718873140711</v>
      </c>
      <c r="AB130" s="24">
        <v>124.06075107697089</v>
      </c>
      <c r="AC130" s="24">
        <v>124.16900151364263</v>
      </c>
      <c r="AD130" s="25">
        <v>122.18105177606155</v>
      </c>
      <c r="AE130" s="24">
        <v>124.8845934120608</v>
      </c>
      <c r="AF130" s="24">
        <v>129.3472223027824</v>
      </c>
      <c r="AG130" s="24">
        <v>139.08166278659968</v>
      </c>
      <c r="AH130" s="25">
        <v>143.21768354779056</v>
      </c>
      <c r="AI130" s="24">
        <v>173.69594879398431</v>
      </c>
      <c r="AJ130" s="24">
        <v>176.73409945134429</v>
      </c>
      <c r="AK130" s="24">
        <v>179.18023852360716</v>
      </c>
      <c r="AL130" s="25">
        <v>185.07586411082724</v>
      </c>
    </row>
    <row r="131" spans="1:38" x14ac:dyDescent="0.2">
      <c r="A131" s="13" t="s">
        <v>49</v>
      </c>
      <c r="B131" s="6" t="s">
        <v>66</v>
      </c>
      <c r="C131" s="22" t="s">
        <v>47</v>
      </c>
      <c r="D131" s="22" t="s">
        <v>47</v>
      </c>
      <c r="E131" s="22" t="s">
        <v>47</v>
      </c>
      <c r="F131" s="23" t="s">
        <v>47</v>
      </c>
      <c r="G131" s="22" t="s">
        <v>47</v>
      </c>
      <c r="H131" s="22" t="s">
        <v>47</v>
      </c>
      <c r="I131" s="22" t="s">
        <v>47</v>
      </c>
      <c r="J131" s="23" t="s">
        <v>47</v>
      </c>
      <c r="K131" s="22" t="s">
        <v>47</v>
      </c>
      <c r="L131" s="22" t="s">
        <v>47</v>
      </c>
      <c r="M131" s="22" t="s">
        <v>47</v>
      </c>
      <c r="N131" s="23" t="s">
        <v>47</v>
      </c>
      <c r="O131" s="22" t="s">
        <v>47</v>
      </c>
      <c r="P131" s="22" t="s">
        <v>47</v>
      </c>
      <c r="Q131" s="22" t="s">
        <v>47</v>
      </c>
      <c r="R131" s="23" t="s">
        <v>47</v>
      </c>
      <c r="S131" s="22" t="s">
        <v>47</v>
      </c>
      <c r="T131" s="22" t="s">
        <v>47</v>
      </c>
      <c r="U131" s="22" t="s">
        <v>47</v>
      </c>
      <c r="V131" s="25">
        <v>162.95541671768146</v>
      </c>
      <c r="W131" s="24">
        <v>220.11113031923034</v>
      </c>
      <c r="X131" s="24">
        <v>237.5233088070525</v>
      </c>
      <c r="Y131" s="24">
        <v>249.52856186211568</v>
      </c>
      <c r="Z131" s="25">
        <v>264.68000597921696</v>
      </c>
      <c r="AA131" s="24">
        <v>437.34170537816925</v>
      </c>
      <c r="AB131" s="24">
        <v>278.38195780709799</v>
      </c>
      <c r="AC131" s="24">
        <v>382.8465391590637</v>
      </c>
      <c r="AD131" s="25">
        <v>377.20184027419464</v>
      </c>
      <c r="AE131" s="24">
        <v>397.74750235234319</v>
      </c>
      <c r="AF131" s="24">
        <v>443.21962596671278</v>
      </c>
      <c r="AG131" s="24">
        <v>561.85751925147702</v>
      </c>
      <c r="AH131" s="25">
        <v>976.99548367248315</v>
      </c>
      <c r="AI131" s="24">
        <v>1460.8377432246612</v>
      </c>
      <c r="AJ131" s="24">
        <v>1161.793510257314</v>
      </c>
      <c r="AK131" s="24">
        <v>1047.241434807255</v>
      </c>
      <c r="AL131" s="25">
        <v>1067.7077625324289</v>
      </c>
    </row>
    <row r="132" spans="1:38" x14ac:dyDescent="0.2">
      <c r="A132" s="13" t="s">
        <v>50</v>
      </c>
      <c r="B132" s="6" t="s">
        <v>66</v>
      </c>
      <c r="C132" s="22" t="s">
        <v>47</v>
      </c>
      <c r="D132" s="22" t="s">
        <v>47</v>
      </c>
      <c r="E132" s="22" t="s">
        <v>47</v>
      </c>
      <c r="F132" s="23" t="s">
        <v>47</v>
      </c>
      <c r="G132" s="22" t="s">
        <v>47</v>
      </c>
      <c r="H132" s="22" t="s">
        <v>47</v>
      </c>
      <c r="I132" s="22" t="s">
        <v>47</v>
      </c>
      <c r="J132" s="23" t="s">
        <v>47</v>
      </c>
      <c r="K132" s="22" t="s">
        <v>47</v>
      </c>
      <c r="L132" s="22" t="s">
        <v>47</v>
      </c>
      <c r="M132" s="22" t="s">
        <v>47</v>
      </c>
      <c r="N132" s="23" t="s">
        <v>47</v>
      </c>
      <c r="O132" s="22" t="s">
        <v>47</v>
      </c>
      <c r="P132" s="22" t="s">
        <v>47</v>
      </c>
      <c r="Q132" s="22" t="s">
        <v>47</v>
      </c>
      <c r="R132" s="23" t="s">
        <v>47</v>
      </c>
      <c r="S132" s="22" t="s">
        <v>47</v>
      </c>
      <c r="T132" s="22" t="s">
        <v>47</v>
      </c>
      <c r="U132" s="22" t="s">
        <v>47</v>
      </c>
      <c r="V132" s="25">
        <v>133.3546570246238</v>
      </c>
      <c r="W132" s="24">
        <v>107.92085181857264</v>
      </c>
      <c r="X132" s="24">
        <v>137.91617972295833</v>
      </c>
      <c r="Y132" s="24">
        <v>129.42863821881255</v>
      </c>
      <c r="Z132" s="25">
        <v>96.319234239876863</v>
      </c>
      <c r="AA132" s="24">
        <v>81.658988599648822</v>
      </c>
      <c r="AB132" s="24">
        <v>68.967806989898975</v>
      </c>
      <c r="AC132" s="24">
        <v>72.977599934871606</v>
      </c>
      <c r="AD132" s="25">
        <v>74.252399329677871</v>
      </c>
      <c r="AE132" s="24">
        <v>62.078475313069916</v>
      </c>
      <c r="AF132" s="24">
        <v>75.879194490209301</v>
      </c>
      <c r="AG132" s="24">
        <v>78.918113565708893</v>
      </c>
      <c r="AH132" s="25">
        <v>117.42656671149145</v>
      </c>
      <c r="AI132" s="24">
        <v>121.83075856423174</v>
      </c>
      <c r="AJ132" s="24">
        <v>135.30240234394375</v>
      </c>
      <c r="AK132" s="24">
        <v>152.97189653787882</v>
      </c>
      <c r="AL132" s="25">
        <v>95.328542981052621</v>
      </c>
    </row>
    <row r="133" spans="1:38" x14ac:dyDescent="0.2">
      <c r="A133" s="13" t="s">
        <v>51</v>
      </c>
      <c r="B133" s="6" t="s">
        <v>66</v>
      </c>
      <c r="C133" s="22" t="s">
        <v>47</v>
      </c>
      <c r="D133" s="22" t="s">
        <v>47</v>
      </c>
      <c r="E133" s="22" t="s">
        <v>47</v>
      </c>
      <c r="F133" s="23" t="s">
        <v>47</v>
      </c>
      <c r="G133" s="22" t="s">
        <v>47</v>
      </c>
      <c r="H133" s="22" t="s">
        <v>47</v>
      </c>
      <c r="I133" s="22" t="s">
        <v>47</v>
      </c>
      <c r="J133" s="23" t="s">
        <v>47</v>
      </c>
      <c r="K133" s="22" t="s">
        <v>47</v>
      </c>
      <c r="L133" s="22" t="s">
        <v>47</v>
      </c>
      <c r="M133" s="22" t="s">
        <v>47</v>
      </c>
      <c r="N133" s="23" t="s">
        <v>47</v>
      </c>
      <c r="O133" s="22" t="s">
        <v>47</v>
      </c>
      <c r="P133" s="22" t="s">
        <v>47</v>
      </c>
      <c r="Q133" s="22" t="s">
        <v>47</v>
      </c>
      <c r="R133" s="23" t="s">
        <v>47</v>
      </c>
      <c r="S133" s="22" t="s">
        <v>47</v>
      </c>
      <c r="T133" s="22" t="s">
        <v>47</v>
      </c>
      <c r="U133" s="22" t="s">
        <v>47</v>
      </c>
      <c r="V133" s="25">
        <v>57.753764347365632</v>
      </c>
      <c r="W133" s="24">
        <v>62.591111698389454</v>
      </c>
      <c r="X133" s="24">
        <v>59.265576467729389</v>
      </c>
      <c r="Y133" s="24">
        <v>59.663934691771651</v>
      </c>
      <c r="Z133" s="25">
        <v>60.065208830385863</v>
      </c>
      <c r="AA133" s="24">
        <v>69.888199798711767</v>
      </c>
      <c r="AB133" s="24">
        <v>68.159340988407578</v>
      </c>
      <c r="AC133" s="24">
        <v>68.838995480963277</v>
      </c>
      <c r="AD133" s="25">
        <v>68.202027666202213</v>
      </c>
      <c r="AE133" s="24">
        <v>71.773472697790439</v>
      </c>
      <c r="AF133" s="24">
        <v>69.534880786214316</v>
      </c>
      <c r="AG133" s="24">
        <v>71.714749778946114</v>
      </c>
      <c r="AH133" s="25">
        <v>72.353880958794861</v>
      </c>
      <c r="AI133" s="24">
        <v>72.607080135222148</v>
      </c>
      <c r="AJ133" s="24">
        <v>75.523127753507637</v>
      </c>
      <c r="AK133" s="24">
        <v>77.44630017549423</v>
      </c>
      <c r="AL133" s="25">
        <v>95.461204963271925</v>
      </c>
    </row>
    <row r="134" spans="1:38" x14ac:dyDescent="0.2">
      <c r="A134" s="13" t="s">
        <v>52</v>
      </c>
      <c r="B134" s="6" t="s">
        <v>66</v>
      </c>
      <c r="C134" s="24">
        <v>3.0764609950583086</v>
      </c>
      <c r="D134" s="24">
        <v>2.457664157474404</v>
      </c>
      <c r="E134" s="24">
        <v>2.3407106735212473</v>
      </c>
      <c r="F134" s="24">
        <v>2.2599048962304287</v>
      </c>
      <c r="G134" s="24">
        <v>1.7256753338233182</v>
      </c>
      <c r="H134" s="24">
        <v>1.8940188058356666</v>
      </c>
      <c r="I134" s="24">
        <v>1.8969622983825229</v>
      </c>
      <c r="J134" s="24">
        <v>1.9302725408270631</v>
      </c>
      <c r="K134" s="24">
        <v>1.9381787285063667</v>
      </c>
      <c r="L134" s="24">
        <v>2.0759647960892664</v>
      </c>
      <c r="M134" s="24">
        <v>2.046334423929757</v>
      </c>
      <c r="N134" s="24">
        <v>2.0279886908717351</v>
      </c>
      <c r="O134" s="24">
        <v>2.1923067224259984</v>
      </c>
      <c r="P134" s="24">
        <v>2.1871137875573909</v>
      </c>
      <c r="Q134" s="24">
        <v>2.2088924216786516</v>
      </c>
      <c r="R134" s="24">
        <v>2.2285961109289745</v>
      </c>
      <c r="S134" s="24">
        <v>2.1563760192685684</v>
      </c>
      <c r="T134" s="24">
        <v>3.1443713085728686</v>
      </c>
      <c r="U134" s="24">
        <v>2.9380488673271183</v>
      </c>
      <c r="V134" s="25">
        <v>2.7151728755781273</v>
      </c>
      <c r="W134" s="24">
        <v>2.7418355906276557</v>
      </c>
      <c r="X134" s="24">
        <v>6.1750692630751534</v>
      </c>
      <c r="Y134" s="24">
        <v>7.8178671942910301</v>
      </c>
      <c r="Z134" s="25">
        <v>3.2572840519381292</v>
      </c>
      <c r="AA134" s="24">
        <v>2.8585971081849237</v>
      </c>
      <c r="AB134" s="24">
        <v>2.8596766187256679</v>
      </c>
      <c r="AC134" s="24">
        <v>2.8766030241707998</v>
      </c>
      <c r="AD134" s="25">
        <v>2.8480636167690463</v>
      </c>
      <c r="AE134" s="24">
        <v>2.2288991250705474</v>
      </c>
      <c r="AF134" s="24">
        <v>2.0581920172694192</v>
      </c>
      <c r="AG134" s="24">
        <v>2.2285374030405927</v>
      </c>
      <c r="AH134" s="25">
        <v>2.28412798404293</v>
      </c>
      <c r="AI134" s="24">
        <v>2.4869789615997315</v>
      </c>
      <c r="AJ134" s="24">
        <v>2.1314833281240935</v>
      </c>
      <c r="AK134" s="24">
        <v>2.1872971151973748</v>
      </c>
      <c r="AL134" s="25">
        <v>2.2474467591410479</v>
      </c>
    </row>
    <row r="135" spans="1:38" x14ac:dyDescent="0.2">
      <c r="A135" s="18" t="s">
        <v>53</v>
      </c>
      <c r="B135" s="19" t="s">
        <v>66</v>
      </c>
      <c r="C135" s="20">
        <v>40.798315383211204</v>
      </c>
      <c r="D135" s="20">
        <v>40.031998350904061</v>
      </c>
      <c r="E135" s="20">
        <v>38.114131007923895</v>
      </c>
      <c r="F135" s="20">
        <v>37.23148764806642</v>
      </c>
      <c r="G135" s="20">
        <v>35.840469419098092</v>
      </c>
      <c r="H135" s="20">
        <v>25.553578234729095</v>
      </c>
      <c r="I135" s="20">
        <v>35.990328076742685</v>
      </c>
      <c r="J135" s="20">
        <v>36.288077038124271</v>
      </c>
      <c r="K135" s="20">
        <v>45.29769394681329</v>
      </c>
      <c r="L135" s="20">
        <v>47.645724306387272</v>
      </c>
      <c r="M135" s="20">
        <v>50.948477289549047</v>
      </c>
      <c r="N135" s="20">
        <v>51.576947709821191</v>
      </c>
      <c r="O135" s="20">
        <v>55.244467123538477</v>
      </c>
      <c r="P135" s="20">
        <v>57.627332382160255</v>
      </c>
      <c r="Q135" s="20">
        <v>61.679037903002687</v>
      </c>
      <c r="R135" s="20">
        <v>63.843183856232159</v>
      </c>
      <c r="S135" s="20">
        <v>65.584247569292671</v>
      </c>
      <c r="T135" s="20">
        <v>73.502597823487221</v>
      </c>
      <c r="U135" s="20">
        <v>77.057420378140947</v>
      </c>
      <c r="V135" s="21">
        <v>78.216925821647237</v>
      </c>
      <c r="W135" s="20">
        <v>91.785871369641725</v>
      </c>
      <c r="X135" s="20">
        <v>95.060195508973337</v>
      </c>
      <c r="Y135" s="20">
        <v>91.923256922133177</v>
      </c>
      <c r="Z135" s="21">
        <v>86.980442413808504</v>
      </c>
      <c r="AA135" s="20">
        <v>82.292988044170585</v>
      </c>
      <c r="AB135" s="20">
        <v>85.262463983935618</v>
      </c>
      <c r="AC135" s="20">
        <v>85.893506086414845</v>
      </c>
      <c r="AD135" s="21">
        <v>85.450051556363576</v>
      </c>
      <c r="AE135" s="20">
        <v>94.60341029607865</v>
      </c>
      <c r="AF135" s="20">
        <v>93.395856207741275</v>
      </c>
      <c r="AG135" s="20">
        <v>93.686316047581641</v>
      </c>
      <c r="AH135" s="21">
        <v>92.292105624169608</v>
      </c>
      <c r="AI135" s="20">
        <v>85.263401420289</v>
      </c>
      <c r="AJ135" s="20">
        <v>87.157263696871581</v>
      </c>
      <c r="AK135" s="20">
        <v>89.380416239796546</v>
      </c>
      <c r="AL135" s="21">
        <v>89.991368399437178</v>
      </c>
    </row>
    <row r="136" spans="1:38" x14ac:dyDescent="0.2">
      <c r="A136" s="18" t="s">
        <v>54</v>
      </c>
      <c r="B136" s="19" t="s">
        <v>66</v>
      </c>
      <c r="C136" s="20">
        <v>8.0538787704827897</v>
      </c>
      <c r="D136" s="20">
        <v>7.8406742142411119</v>
      </c>
      <c r="E136" s="20">
        <v>7.8886180109800597</v>
      </c>
      <c r="F136" s="20">
        <v>7.7009774035251155</v>
      </c>
      <c r="G136" s="20">
        <v>7.5825072039094694</v>
      </c>
      <c r="H136" s="20">
        <v>7.6468718810027676</v>
      </c>
      <c r="I136" s="20">
        <v>7.0587925114997532</v>
      </c>
      <c r="J136" s="20">
        <v>3.2984527958343479</v>
      </c>
      <c r="K136" s="20">
        <v>3.4069816046814299</v>
      </c>
      <c r="L136" s="20">
        <v>3.3065800158417136</v>
      </c>
      <c r="M136" s="20">
        <v>3.342376069223894</v>
      </c>
      <c r="N136" s="20">
        <v>3.2232175410433532</v>
      </c>
      <c r="O136" s="20">
        <v>3.1438418252861129</v>
      </c>
      <c r="P136" s="20">
        <v>3.0205236908956885</v>
      </c>
      <c r="Q136" s="20">
        <v>2.8022559871124781</v>
      </c>
      <c r="R136" s="20">
        <v>2.7431463414587052</v>
      </c>
      <c r="S136" s="20">
        <v>3.2471690160809508</v>
      </c>
      <c r="T136" s="20">
        <v>3.0269292141677075</v>
      </c>
      <c r="U136" s="20">
        <v>2.9868526148769039</v>
      </c>
      <c r="V136" s="21">
        <v>3.0202208188269069</v>
      </c>
      <c r="W136" s="20">
        <v>3.2346083759215309</v>
      </c>
      <c r="X136" s="20">
        <v>3.1886478986528628</v>
      </c>
      <c r="Y136" s="20">
        <v>3.2595630728016376</v>
      </c>
      <c r="Z136" s="21">
        <v>3.2467695031959019</v>
      </c>
      <c r="AA136" s="20">
        <v>3.6946696718561456</v>
      </c>
      <c r="AB136" s="20">
        <v>3.5769919715708869</v>
      </c>
      <c r="AC136" s="20">
        <v>3.613855014697513</v>
      </c>
      <c r="AD136" s="21">
        <v>3.6504929054389028</v>
      </c>
      <c r="AE136" s="20">
        <v>3.8809508250859932</v>
      </c>
      <c r="AF136" s="20">
        <v>3.8621675317035948</v>
      </c>
      <c r="AG136" s="20">
        <v>4.0266106492879139</v>
      </c>
      <c r="AH136" s="21">
        <v>3.9771864686370257</v>
      </c>
      <c r="AI136" s="20">
        <v>3.5537160719003378</v>
      </c>
      <c r="AJ136" s="20">
        <v>3.656339850529954</v>
      </c>
      <c r="AK136" s="20">
        <v>3.8511431020904991</v>
      </c>
      <c r="AL136" s="21">
        <v>3.9118298454571421</v>
      </c>
    </row>
    <row r="137" spans="1:38" x14ac:dyDescent="0.2">
      <c r="A137" s="18" t="s">
        <v>55</v>
      </c>
      <c r="B137" s="19" t="s">
        <v>66</v>
      </c>
      <c r="C137" s="20">
        <v>91.076321759609357</v>
      </c>
      <c r="D137" s="20">
        <v>87.537817403211136</v>
      </c>
      <c r="E137" s="20">
        <v>85.443398447333863</v>
      </c>
      <c r="F137" s="20">
        <v>85.355575196224621</v>
      </c>
      <c r="G137" s="20">
        <v>98.682345840279879</v>
      </c>
      <c r="H137" s="20">
        <v>94.149070804775803</v>
      </c>
      <c r="I137" s="20">
        <v>92.292987382139202</v>
      </c>
      <c r="J137" s="20">
        <v>91.761266137964554</v>
      </c>
      <c r="K137" s="20">
        <v>109.09199400330388</v>
      </c>
      <c r="L137" s="20">
        <v>106.32410605304987</v>
      </c>
      <c r="M137" s="20">
        <v>103.60279843356275</v>
      </c>
      <c r="N137" s="20">
        <v>102.81749417597273</v>
      </c>
      <c r="O137" s="20">
        <v>110.67122294203558</v>
      </c>
      <c r="P137" s="20">
        <v>112.5796833588611</v>
      </c>
      <c r="Q137" s="20">
        <v>110.12709605716908</v>
      </c>
      <c r="R137" s="20">
        <v>109.11676124140281</v>
      </c>
      <c r="S137" s="20">
        <v>122.09842197257515</v>
      </c>
      <c r="T137" s="20">
        <v>118.86888902813573</v>
      </c>
      <c r="U137" s="20">
        <v>115.93900553875092</v>
      </c>
      <c r="V137" s="21">
        <v>115.25222243832381</v>
      </c>
      <c r="W137" s="20">
        <v>128.67025705802305</v>
      </c>
      <c r="X137" s="20">
        <v>129.48870584404256</v>
      </c>
      <c r="Y137" s="20">
        <v>127.36032985599593</v>
      </c>
      <c r="Z137" s="21">
        <v>128.23936609899278</v>
      </c>
      <c r="AA137" s="20">
        <v>148.40534042447325</v>
      </c>
      <c r="AB137" s="20">
        <v>152.54648058360888</v>
      </c>
      <c r="AC137" s="20">
        <v>154.85124459206872</v>
      </c>
      <c r="AD137" s="21">
        <v>159.70885261795945</v>
      </c>
      <c r="AE137" s="20">
        <v>184.97441115632213</v>
      </c>
      <c r="AF137" s="20">
        <v>186.13784477705036</v>
      </c>
      <c r="AG137" s="20">
        <v>189.31217033458452</v>
      </c>
      <c r="AH137" s="21">
        <v>189.4589432361571</v>
      </c>
      <c r="AI137" s="20">
        <v>212.00179627674299</v>
      </c>
      <c r="AJ137" s="20">
        <v>212.19794182292199</v>
      </c>
      <c r="AK137" s="20">
        <v>211.29965636586363</v>
      </c>
      <c r="AL137" s="21">
        <v>208.82697172379758</v>
      </c>
    </row>
    <row r="138" spans="1:38" x14ac:dyDescent="0.2">
      <c r="A138" s="18" t="s">
        <v>56</v>
      </c>
      <c r="B138" s="19" t="s">
        <v>66</v>
      </c>
      <c r="C138" s="20">
        <v>720.88636900543349</v>
      </c>
      <c r="D138" s="20">
        <v>2765.1494973388526</v>
      </c>
      <c r="E138" s="20">
        <v>2210.2252122498485</v>
      </c>
      <c r="F138" s="20">
        <v>1876.6428571428571</v>
      </c>
      <c r="G138" s="20">
        <v>1990.6398846982054</v>
      </c>
      <c r="H138" s="20">
        <v>2134.1808855486311</v>
      </c>
      <c r="I138" s="20">
        <v>2377.6885188317901</v>
      </c>
      <c r="J138" s="20">
        <v>2728.3022343976104</v>
      </c>
      <c r="K138" s="20">
        <v>2223.713843007034</v>
      </c>
      <c r="L138" s="20">
        <v>2692.297392150092</v>
      </c>
      <c r="M138" s="20">
        <v>2295.6544543300888</v>
      </c>
      <c r="N138" s="20">
        <v>2111.2998472449576</v>
      </c>
      <c r="O138" s="20">
        <v>1136.7666004135931</v>
      </c>
      <c r="P138" s="20">
        <v>1491.0937891801477</v>
      </c>
      <c r="Q138" s="20">
        <v>1497.6487177175322</v>
      </c>
      <c r="R138" s="20">
        <v>1604.376541550198</v>
      </c>
      <c r="S138" s="20">
        <v>1084.2666712555556</v>
      </c>
      <c r="T138" s="20">
        <v>1556.0181508674198</v>
      </c>
      <c r="U138" s="20">
        <v>1633.3304782229736</v>
      </c>
      <c r="V138" s="21">
        <v>1440.3614520214717</v>
      </c>
      <c r="W138" s="20">
        <v>1559.5582785394977</v>
      </c>
      <c r="X138" s="20">
        <v>1346.9738302760595</v>
      </c>
      <c r="Y138" s="20">
        <v>1671.6028114408293</v>
      </c>
      <c r="Z138" s="21">
        <v>1867.0336710911638</v>
      </c>
      <c r="AA138" s="20">
        <v>1507.4894698707371</v>
      </c>
      <c r="AB138" s="20">
        <v>1317.7443784730992</v>
      </c>
      <c r="AC138" s="20">
        <v>1508.8270314793913</v>
      </c>
      <c r="AD138" s="21">
        <v>1848.3817565118279</v>
      </c>
      <c r="AE138" s="20">
        <v>2265.0869755723179</v>
      </c>
      <c r="AF138" s="20">
        <v>2262.4940136414134</v>
      </c>
      <c r="AG138" s="20">
        <v>2700.2316813911939</v>
      </c>
      <c r="AH138" s="21">
        <v>2878.4447116626079</v>
      </c>
      <c r="AI138" s="20">
        <v>2477.3232312136106</v>
      </c>
      <c r="AJ138" s="20">
        <v>2706.3977784725357</v>
      </c>
      <c r="AK138" s="20">
        <v>2563.2502883834841</v>
      </c>
      <c r="AL138" s="21">
        <v>2828.3211353454308</v>
      </c>
    </row>
    <row r="139" spans="1:38" x14ac:dyDescent="0.2">
      <c r="A139" s="18" t="s">
        <v>57</v>
      </c>
      <c r="B139" s="19" t="s">
        <v>66</v>
      </c>
      <c r="C139" s="20">
        <v>42.996739174464295</v>
      </c>
      <c r="D139" s="20">
        <v>42.529961166981977</v>
      </c>
      <c r="E139" s="20">
        <v>38.950503764778894</v>
      </c>
      <c r="F139" s="20">
        <v>39.264716822768627</v>
      </c>
      <c r="G139" s="20">
        <v>34.176947415601099</v>
      </c>
      <c r="H139" s="20">
        <v>39.506595366211315</v>
      </c>
      <c r="I139" s="20">
        <v>41.555634649229184</v>
      </c>
      <c r="J139" s="20">
        <v>42.499632601811022</v>
      </c>
      <c r="K139" s="20">
        <v>52.656632423745322</v>
      </c>
      <c r="L139" s="20">
        <v>55.658104424838363</v>
      </c>
      <c r="M139" s="20">
        <v>54.493775438561421</v>
      </c>
      <c r="N139" s="20">
        <v>51.011015526139644</v>
      </c>
      <c r="O139" s="20">
        <v>51.158944640500174</v>
      </c>
      <c r="P139" s="20">
        <v>49.497996940673147</v>
      </c>
      <c r="Q139" s="20">
        <v>47.292467130258451</v>
      </c>
      <c r="R139" s="20">
        <v>46.108123071979023</v>
      </c>
      <c r="S139" s="20">
        <v>56.901366297235363</v>
      </c>
      <c r="T139" s="20">
        <v>50.99948484901271</v>
      </c>
      <c r="U139" s="20">
        <v>48.556204075109754</v>
      </c>
      <c r="V139" s="21">
        <v>48.212713796595061</v>
      </c>
      <c r="W139" s="20">
        <v>56.585989392755607</v>
      </c>
      <c r="X139" s="20">
        <v>50.498707154006922</v>
      </c>
      <c r="Y139" s="20">
        <v>42.925217305472806</v>
      </c>
      <c r="Z139" s="21">
        <v>43.7436237082199</v>
      </c>
      <c r="AA139" s="20">
        <v>40.746486608472232</v>
      </c>
      <c r="AB139" s="20">
        <v>52.890343955272357</v>
      </c>
      <c r="AC139" s="20">
        <v>52.712406824359036</v>
      </c>
      <c r="AD139" s="21">
        <v>53.831739537414691</v>
      </c>
      <c r="AE139" s="20">
        <v>51.503923433978237</v>
      </c>
      <c r="AF139" s="20">
        <v>69.560947075051274</v>
      </c>
      <c r="AG139" s="20">
        <v>66.947168735308793</v>
      </c>
      <c r="AH139" s="21">
        <v>65.251332908564663</v>
      </c>
      <c r="AI139" s="20">
        <v>65.420898038742692</v>
      </c>
      <c r="AJ139" s="20">
        <v>67.357537977438042</v>
      </c>
      <c r="AK139" s="20">
        <v>66.228896379937026</v>
      </c>
      <c r="AL139" s="21">
        <v>68.217405295192393</v>
      </c>
    </row>
    <row r="140" spans="1:38" x14ac:dyDescent="0.2">
      <c r="A140" s="18" t="s">
        <v>58</v>
      </c>
      <c r="B140" s="19" t="s">
        <v>66</v>
      </c>
      <c r="C140" s="20">
        <v>62.061115776929903</v>
      </c>
      <c r="D140" s="20">
        <v>63.212234167203704</v>
      </c>
      <c r="E140" s="20">
        <v>63.166656686467668</v>
      </c>
      <c r="F140" s="20">
        <v>59.516705351768806</v>
      </c>
      <c r="G140" s="20">
        <v>55.702174431305387</v>
      </c>
      <c r="H140" s="20">
        <v>56.0474704634562</v>
      </c>
      <c r="I140" s="20">
        <v>57.859113512429417</v>
      </c>
      <c r="J140" s="20">
        <v>58.201730334316011</v>
      </c>
      <c r="K140" s="20">
        <v>60.982399227148072</v>
      </c>
      <c r="L140" s="20">
        <v>52.427095034473325</v>
      </c>
      <c r="M140" s="20">
        <v>61.858623125888357</v>
      </c>
      <c r="N140" s="20">
        <v>62.082451886959383</v>
      </c>
      <c r="O140" s="20">
        <v>62.722811130320558</v>
      </c>
      <c r="P140" s="20">
        <v>63.310198832549077</v>
      </c>
      <c r="Q140" s="20">
        <v>65.421471356700621</v>
      </c>
      <c r="R140" s="20">
        <v>66.341008501129579</v>
      </c>
      <c r="S140" s="20">
        <v>66.35765528843099</v>
      </c>
      <c r="T140" s="20">
        <v>64.12644555128233</v>
      </c>
      <c r="U140" s="20">
        <v>65.381425572420895</v>
      </c>
      <c r="V140" s="21">
        <v>66.73190017948329</v>
      </c>
      <c r="W140" s="20">
        <v>69.052952138964926</v>
      </c>
      <c r="X140" s="20">
        <v>68.872271634840629</v>
      </c>
      <c r="Y140" s="20">
        <v>67.720692645881215</v>
      </c>
      <c r="Z140" s="21">
        <v>69.981663897159436</v>
      </c>
      <c r="AA140" s="20">
        <v>79.276535124781347</v>
      </c>
      <c r="AB140" s="20">
        <v>76.491965978427586</v>
      </c>
      <c r="AC140" s="20">
        <v>78.440397514782859</v>
      </c>
      <c r="AD140" s="21">
        <v>78.936821389677533</v>
      </c>
      <c r="AE140" s="20">
        <v>76.740328115691057</v>
      </c>
      <c r="AF140" s="20">
        <v>84.868754053966029</v>
      </c>
      <c r="AG140" s="20">
        <v>92.927181137082158</v>
      </c>
      <c r="AH140" s="21">
        <v>91.175895865357461</v>
      </c>
      <c r="AI140" s="20">
        <v>102.15086403057971</v>
      </c>
      <c r="AJ140" s="20">
        <v>101.46830337595424</v>
      </c>
      <c r="AK140" s="20">
        <v>103.83107937381877</v>
      </c>
      <c r="AL140" s="21">
        <v>105.95579020193895</v>
      </c>
    </row>
    <row r="141" spans="1:38" x14ac:dyDescent="0.2">
      <c r="A141" s="18" t="s">
        <v>59</v>
      </c>
      <c r="B141" s="19" t="s">
        <v>66</v>
      </c>
      <c r="C141" s="20">
        <v>222.37613235145776</v>
      </c>
      <c r="D141" s="20">
        <v>246.66539293028904</v>
      </c>
      <c r="E141" s="20">
        <v>216.84920602664937</v>
      </c>
      <c r="F141" s="20">
        <v>202.44420203080659</v>
      </c>
      <c r="G141" s="20">
        <v>206.9546166596144</v>
      </c>
      <c r="H141" s="20">
        <v>192.38347574807474</v>
      </c>
      <c r="I141" s="20">
        <v>182.87099918889979</v>
      </c>
      <c r="J141" s="20">
        <v>200.24124842953563</v>
      </c>
      <c r="K141" s="20">
        <v>286.72067301947732</v>
      </c>
      <c r="L141" s="20">
        <v>233.63957619656517</v>
      </c>
      <c r="M141" s="20">
        <v>192.43088678281407</v>
      </c>
      <c r="N141" s="20">
        <v>194.28994642336608</v>
      </c>
      <c r="O141" s="20">
        <v>174.66637472987111</v>
      </c>
      <c r="P141" s="20">
        <v>165.87178096580556</v>
      </c>
      <c r="Q141" s="20">
        <v>157.06258688164968</v>
      </c>
      <c r="R141" s="20">
        <v>164.92077618749315</v>
      </c>
      <c r="S141" s="20">
        <v>134.95624549811285</v>
      </c>
      <c r="T141" s="20">
        <v>103.06635854804294</v>
      </c>
      <c r="U141" s="20">
        <v>113.04081787120275</v>
      </c>
      <c r="V141" s="21">
        <v>118.74066601452459</v>
      </c>
      <c r="W141" s="20">
        <v>86.768983213991064</v>
      </c>
      <c r="X141" s="20">
        <v>88.450051539965173</v>
      </c>
      <c r="Y141" s="20">
        <v>80.886829270151168</v>
      </c>
      <c r="Z141" s="21">
        <v>85.866742964071335</v>
      </c>
      <c r="AA141" s="20">
        <v>109.94155934250755</v>
      </c>
      <c r="AB141" s="20">
        <v>92.711849911309073</v>
      </c>
      <c r="AC141" s="20">
        <v>104.43753452506301</v>
      </c>
      <c r="AD141" s="21">
        <v>109.81346963287035</v>
      </c>
      <c r="AE141" s="20">
        <v>113.00735617885044</v>
      </c>
      <c r="AF141" s="20">
        <v>110.98561157822421</v>
      </c>
      <c r="AG141" s="20">
        <v>120.44328310533643</v>
      </c>
      <c r="AH141" s="21">
        <v>123.06274111747464</v>
      </c>
      <c r="AI141" s="20">
        <v>166.43410302458486</v>
      </c>
      <c r="AJ141" s="20">
        <v>160.70447441336418</v>
      </c>
      <c r="AK141" s="20">
        <v>136.06104940453554</v>
      </c>
      <c r="AL141" s="21">
        <v>140.10004316976099</v>
      </c>
    </row>
    <row r="142" spans="1:38" x14ac:dyDescent="0.2">
      <c r="A142" s="26" t="s">
        <v>107</v>
      </c>
      <c r="B142" s="10" t="s">
        <v>66</v>
      </c>
      <c r="C142" s="16">
        <v>48.505072406884935</v>
      </c>
      <c r="D142" s="16">
        <v>49.662491525514923</v>
      </c>
      <c r="E142" s="16">
        <v>47.828760905467469</v>
      </c>
      <c r="F142" s="16">
        <v>45.28767746139804</v>
      </c>
      <c r="G142" s="16">
        <v>44.061765677296655</v>
      </c>
      <c r="H142" s="16">
        <v>44.907126829575176</v>
      </c>
      <c r="I142" s="16">
        <v>46.078648308479416</v>
      </c>
      <c r="J142" s="16">
        <v>43.771656324209886</v>
      </c>
      <c r="K142" s="16">
        <v>56.029603785785199</v>
      </c>
      <c r="L142" s="16">
        <v>57.099661230500828</v>
      </c>
      <c r="M142" s="16">
        <v>57.274339048477955</v>
      </c>
      <c r="N142" s="16">
        <v>57.8539247987121</v>
      </c>
      <c r="O142" s="16">
        <v>60.976330956378241</v>
      </c>
      <c r="P142" s="16">
        <v>63.335513799140529</v>
      </c>
      <c r="Q142" s="16">
        <v>64.927830379442909</v>
      </c>
      <c r="R142" s="16">
        <v>64.858591027485303</v>
      </c>
      <c r="S142" s="16">
        <v>82.875983680663055</v>
      </c>
      <c r="T142" s="16">
        <v>76.382585192970097</v>
      </c>
      <c r="U142" s="16">
        <v>74.560851927736806</v>
      </c>
      <c r="V142" s="17">
        <v>80.382832165820531</v>
      </c>
      <c r="W142" s="16">
        <v>86.528736952287375</v>
      </c>
      <c r="X142" s="16">
        <v>87.958118636053541</v>
      </c>
      <c r="Y142" s="16">
        <v>89.538068775663163</v>
      </c>
      <c r="Z142" s="17">
        <v>91.150181783024422</v>
      </c>
      <c r="AA142" s="16">
        <v>113.65362473579914</v>
      </c>
      <c r="AB142" s="16">
        <v>93.918641470681166</v>
      </c>
      <c r="AC142" s="16">
        <v>105.40144395961663</v>
      </c>
      <c r="AD142" s="17">
        <v>105.34740530423859</v>
      </c>
      <c r="AE142" s="16">
        <v>110.38758769843152</v>
      </c>
      <c r="AF142" s="16">
        <v>118.65660385371163</v>
      </c>
      <c r="AG142" s="16">
        <v>140.50300084005374</v>
      </c>
      <c r="AH142" s="17">
        <v>224.18773490373704</v>
      </c>
      <c r="AI142" s="16">
        <v>244.35462349344465</v>
      </c>
      <c r="AJ142" s="16">
        <v>226.76967686324184</v>
      </c>
      <c r="AK142" s="16">
        <v>225.52539796693534</v>
      </c>
      <c r="AL142" s="17">
        <v>240.90739339087412</v>
      </c>
    </row>
    <row r="143" spans="1:38" x14ac:dyDescent="0.2">
      <c r="A143" s="34" t="s">
        <v>108</v>
      </c>
      <c r="B143" s="35" t="s">
        <v>66</v>
      </c>
      <c r="C143" s="36">
        <v>16.737063078413321</v>
      </c>
      <c r="D143" s="36">
        <v>18.828557116544797</v>
      </c>
      <c r="E143" s="36">
        <v>18.804012189915618</v>
      </c>
      <c r="F143" s="36">
        <v>17.773916934119313</v>
      </c>
      <c r="G143" s="36">
        <v>17.12874628699743</v>
      </c>
      <c r="H143" s="36">
        <v>16.756482971850048</v>
      </c>
      <c r="I143" s="36">
        <v>15.893194378488323</v>
      </c>
      <c r="J143" s="36">
        <v>7.7491248770371133</v>
      </c>
      <c r="K143" s="36">
        <v>8.1039827425483946</v>
      </c>
      <c r="L143" s="36">
        <v>7.5981138304820925</v>
      </c>
      <c r="M143" s="36">
        <v>7.1808195839407123</v>
      </c>
      <c r="N143" s="36">
        <v>6.9503542753783822</v>
      </c>
      <c r="O143" s="36">
        <v>6.6332139468601747</v>
      </c>
      <c r="P143" s="36">
        <v>6.5848052516500886</v>
      </c>
      <c r="Q143" s="36">
        <v>6.1759129016752556</v>
      </c>
      <c r="R143" s="36">
        <v>6.0184387975160361</v>
      </c>
      <c r="S143" s="36">
        <v>6.9104696612914553</v>
      </c>
      <c r="T143" s="36">
        <v>6.3602795161880934</v>
      </c>
      <c r="U143" s="36">
        <v>6.3211984994268837</v>
      </c>
      <c r="V143" s="37">
        <v>6.3521344489301343</v>
      </c>
      <c r="W143" s="36">
        <v>6.6910793130906674</v>
      </c>
      <c r="X143" s="36">
        <v>6.4366576795106178</v>
      </c>
      <c r="Y143" s="36">
        <v>6.5122975312277429</v>
      </c>
      <c r="Z143" s="37">
        <v>6.4403887566347455</v>
      </c>
      <c r="AA143" s="36">
        <v>7.571782307772474</v>
      </c>
      <c r="AB143" s="36">
        <v>7.0259357533403399</v>
      </c>
      <c r="AC143" s="36">
        <v>7.235398224668864</v>
      </c>
      <c r="AD143" s="37">
        <v>7.444527827953074</v>
      </c>
      <c r="AE143" s="36">
        <v>8.520116799781789</v>
      </c>
      <c r="AF143" s="36">
        <v>8.3523496843936158</v>
      </c>
      <c r="AG143" s="36">
        <v>9.100300093313054</v>
      </c>
      <c r="AH143" s="37">
        <v>9.0048482376347145</v>
      </c>
      <c r="AI143" s="36">
        <v>8.610813015783787</v>
      </c>
      <c r="AJ143" s="36">
        <v>8.6505009428802406</v>
      </c>
      <c r="AK143" s="36">
        <v>8.8783676656890247</v>
      </c>
      <c r="AL143" s="37">
        <v>9.1232516546503621</v>
      </c>
    </row>
    <row r="144" spans="1:38" s="42" customFormat="1" x14ac:dyDescent="0.2">
      <c r="A144" s="38"/>
      <c r="B144" s="39"/>
      <c r="C144" s="40"/>
      <c r="D144" s="40"/>
      <c r="E144" s="40"/>
      <c r="F144" s="41"/>
      <c r="G144" s="40"/>
      <c r="H144" s="40"/>
      <c r="I144" s="40"/>
      <c r="J144" s="41"/>
      <c r="K144" s="40"/>
      <c r="L144" s="40"/>
      <c r="M144" s="40"/>
      <c r="N144" s="41"/>
      <c r="O144" s="40"/>
      <c r="P144" s="40"/>
      <c r="Q144" s="40"/>
      <c r="R144" s="41"/>
      <c r="S144" s="40"/>
      <c r="T144" s="40"/>
      <c r="U144" s="40"/>
      <c r="V144" s="41"/>
      <c r="W144" s="40"/>
      <c r="X144" s="40"/>
      <c r="Y144" s="40"/>
      <c r="Z144" s="41"/>
      <c r="AA144" s="40"/>
      <c r="AB144" s="40"/>
      <c r="AC144" s="40"/>
      <c r="AD144" s="41"/>
      <c r="AE144" s="40"/>
      <c r="AF144" s="40"/>
      <c r="AG144" s="40"/>
      <c r="AH144" s="41"/>
      <c r="AI144" s="40"/>
      <c r="AJ144" s="40"/>
      <c r="AK144" s="40"/>
      <c r="AL144" s="41"/>
    </row>
    <row r="145" spans="1:38" s="42" customFormat="1" x14ac:dyDescent="0.2">
      <c r="A145" s="43"/>
      <c r="B145" s="39"/>
      <c r="C145" s="40"/>
      <c r="D145" s="40"/>
      <c r="E145" s="40"/>
      <c r="F145" s="41"/>
      <c r="G145" s="40"/>
      <c r="H145" s="40"/>
      <c r="I145" s="40"/>
      <c r="J145" s="41"/>
      <c r="K145" s="40"/>
      <c r="L145" s="40"/>
      <c r="M145" s="40"/>
      <c r="N145" s="41"/>
      <c r="O145" s="40"/>
      <c r="P145" s="40"/>
      <c r="Q145" s="40"/>
      <c r="R145" s="41"/>
      <c r="S145" s="40"/>
      <c r="T145" s="40"/>
      <c r="U145" s="40"/>
      <c r="V145" s="41"/>
      <c r="W145" s="40"/>
      <c r="X145" s="40"/>
      <c r="Y145" s="40"/>
      <c r="Z145" s="41"/>
      <c r="AA145" s="40"/>
      <c r="AB145" s="40"/>
      <c r="AC145" s="40"/>
      <c r="AD145" s="41"/>
      <c r="AE145" s="40"/>
      <c r="AF145" s="40"/>
      <c r="AG145" s="40"/>
      <c r="AH145" s="41"/>
      <c r="AI145" s="40"/>
      <c r="AJ145" s="40"/>
      <c r="AK145" s="40"/>
      <c r="AL145" s="41"/>
    </row>
    <row r="146" spans="1:38" s="42" customFormat="1" x14ac:dyDescent="0.2">
      <c r="A146" s="43"/>
      <c r="B146" s="39"/>
      <c r="C146" s="44"/>
      <c r="D146" s="44"/>
      <c r="E146" s="44"/>
      <c r="F146" s="45"/>
      <c r="G146" s="44"/>
      <c r="H146" s="44"/>
      <c r="I146" s="44"/>
      <c r="J146" s="45"/>
      <c r="K146" s="44"/>
      <c r="L146" s="44"/>
      <c r="M146" s="44"/>
      <c r="N146" s="45"/>
      <c r="O146" s="44"/>
      <c r="P146" s="44"/>
      <c r="Q146" s="44"/>
      <c r="R146" s="45"/>
      <c r="S146" s="44"/>
      <c r="T146" s="44"/>
      <c r="U146" s="44"/>
      <c r="V146" s="45"/>
      <c r="W146" s="44"/>
      <c r="X146" s="44"/>
      <c r="Y146" s="44"/>
      <c r="Z146" s="45"/>
      <c r="AA146" s="44"/>
      <c r="AB146" s="44"/>
      <c r="AC146" s="44"/>
      <c r="AD146" s="45"/>
      <c r="AE146" s="44"/>
      <c r="AF146" s="44"/>
      <c r="AG146" s="44"/>
      <c r="AH146" s="45"/>
      <c r="AI146" s="44"/>
      <c r="AJ146" s="44"/>
      <c r="AK146" s="44"/>
      <c r="AL146" s="45"/>
    </row>
    <row r="147" spans="1:38" s="42" customFormat="1" x14ac:dyDescent="0.2">
      <c r="A147" s="43"/>
      <c r="B147" s="39"/>
      <c r="C147" s="40"/>
      <c r="D147" s="40"/>
      <c r="E147" s="40"/>
      <c r="F147" s="41"/>
      <c r="G147" s="40"/>
      <c r="H147" s="40"/>
      <c r="I147" s="40"/>
      <c r="J147" s="41"/>
      <c r="K147" s="40"/>
      <c r="L147" s="40"/>
      <c r="M147" s="40"/>
      <c r="N147" s="41"/>
      <c r="O147" s="40"/>
      <c r="P147" s="40"/>
      <c r="Q147" s="40"/>
      <c r="R147" s="41"/>
      <c r="S147" s="40"/>
      <c r="T147" s="40"/>
      <c r="U147" s="40"/>
      <c r="V147" s="41"/>
      <c r="W147" s="40"/>
      <c r="X147" s="40"/>
      <c r="Y147" s="40"/>
      <c r="Z147" s="41"/>
      <c r="AA147" s="40"/>
      <c r="AB147" s="40"/>
      <c r="AC147" s="40"/>
      <c r="AD147" s="41"/>
      <c r="AE147" s="40"/>
      <c r="AF147" s="40"/>
      <c r="AG147" s="40"/>
      <c r="AH147" s="41"/>
      <c r="AI147" s="40"/>
      <c r="AJ147" s="40"/>
      <c r="AK147" s="40"/>
      <c r="AL147" s="41"/>
    </row>
    <row r="148" spans="1:38" s="42" customFormat="1" x14ac:dyDescent="0.2">
      <c r="A148" s="43"/>
      <c r="B148" s="39"/>
      <c r="C148" s="44"/>
      <c r="D148" s="44"/>
      <c r="E148" s="44"/>
      <c r="F148" s="45"/>
      <c r="G148" s="44"/>
      <c r="H148" s="44"/>
      <c r="I148" s="44"/>
      <c r="J148" s="45"/>
      <c r="K148" s="44"/>
      <c r="L148" s="44"/>
      <c r="M148" s="44"/>
      <c r="N148" s="45"/>
      <c r="O148" s="44"/>
      <c r="P148" s="44"/>
      <c r="Q148" s="44"/>
      <c r="R148" s="45"/>
      <c r="S148" s="44"/>
      <c r="T148" s="44"/>
      <c r="U148" s="44"/>
      <c r="V148" s="45"/>
      <c r="W148" s="44"/>
      <c r="X148" s="44"/>
      <c r="Y148" s="44"/>
      <c r="Z148" s="45"/>
      <c r="AA148" s="44"/>
      <c r="AB148" s="44"/>
      <c r="AC148" s="44"/>
      <c r="AD148" s="45"/>
      <c r="AE148" s="44"/>
      <c r="AF148" s="44"/>
      <c r="AG148" s="44"/>
      <c r="AH148" s="45"/>
      <c r="AI148" s="44"/>
      <c r="AJ148" s="44"/>
      <c r="AK148" s="44"/>
      <c r="AL148" s="45"/>
    </row>
    <row r="149" spans="1:38" s="42" customFormat="1" x14ac:dyDescent="0.2">
      <c r="A149" s="43"/>
      <c r="B149" s="39"/>
      <c r="C149" s="44"/>
      <c r="D149" s="44"/>
      <c r="E149" s="44"/>
      <c r="F149" s="45"/>
      <c r="G149" s="44"/>
      <c r="H149" s="44"/>
      <c r="I149" s="44"/>
      <c r="J149" s="45"/>
      <c r="K149" s="44"/>
      <c r="L149" s="44"/>
      <c r="M149" s="44"/>
      <c r="N149" s="45"/>
      <c r="O149" s="44"/>
      <c r="P149" s="44"/>
      <c r="Q149" s="44"/>
      <c r="R149" s="45"/>
      <c r="S149" s="44"/>
      <c r="T149" s="44"/>
      <c r="U149" s="44"/>
      <c r="V149" s="45"/>
      <c r="W149" s="44"/>
      <c r="X149" s="44"/>
      <c r="Y149" s="44"/>
      <c r="Z149" s="45"/>
      <c r="AA149" s="44"/>
      <c r="AB149" s="44"/>
      <c r="AC149" s="44"/>
      <c r="AD149" s="45"/>
      <c r="AE149" s="44"/>
      <c r="AF149" s="44"/>
      <c r="AG149" s="44"/>
      <c r="AH149" s="45"/>
      <c r="AI149" s="44"/>
      <c r="AJ149" s="44"/>
      <c r="AK149" s="44"/>
      <c r="AL149" s="45"/>
    </row>
    <row r="150" spans="1:38" s="42" customFormat="1" ht="9" x14ac:dyDescent="0.2">
      <c r="A150" s="43"/>
      <c r="B150" s="39"/>
      <c r="C150" s="44"/>
      <c r="D150" s="44"/>
      <c r="E150" s="44"/>
      <c r="F150" s="45"/>
      <c r="G150" s="44"/>
      <c r="H150" s="44"/>
      <c r="I150" s="44"/>
      <c r="J150" s="45"/>
      <c r="K150" s="44"/>
      <c r="L150" s="44"/>
      <c r="M150" s="44"/>
      <c r="N150" s="45"/>
      <c r="O150" s="44"/>
      <c r="P150" s="44"/>
      <c r="Q150" s="44"/>
      <c r="R150" s="45"/>
      <c r="S150" s="44"/>
      <c r="T150" s="44"/>
      <c r="U150" s="44"/>
      <c r="V150" s="45"/>
      <c r="W150" s="44"/>
      <c r="X150" s="44"/>
      <c r="Y150" s="44"/>
      <c r="Z150" s="45"/>
      <c r="AA150" s="44"/>
      <c r="AB150" s="44"/>
      <c r="AC150" s="44"/>
      <c r="AD150" s="45"/>
      <c r="AE150" s="44"/>
      <c r="AF150" s="44"/>
      <c r="AG150" s="44"/>
      <c r="AH150" s="45"/>
      <c r="AI150" s="44"/>
      <c r="AJ150" s="44"/>
      <c r="AK150" s="44"/>
      <c r="AL150" s="45"/>
    </row>
    <row r="151" spans="1:38" s="42" customFormat="1" x14ac:dyDescent="0.2">
      <c r="A151" s="43"/>
      <c r="B151" s="39"/>
      <c r="C151" s="44"/>
      <c r="D151" s="44"/>
      <c r="E151" s="44"/>
      <c r="F151" s="45"/>
      <c r="G151" s="44"/>
      <c r="H151" s="44"/>
      <c r="I151" s="44"/>
      <c r="J151" s="45"/>
      <c r="K151" s="44"/>
      <c r="L151" s="44"/>
      <c r="M151" s="44"/>
      <c r="N151" s="45"/>
      <c r="O151" s="44"/>
      <c r="P151" s="44"/>
      <c r="Q151" s="44"/>
      <c r="R151" s="45"/>
      <c r="S151" s="44"/>
      <c r="T151" s="44"/>
      <c r="U151" s="44"/>
      <c r="V151" s="45"/>
      <c r="W151" s="44"/>
      <c r="X151" s="44"/>
      <c r="Y151" s="44"/>
      <c r="Z151" s="45"/>
      <c r="AA151" s="44"/>
      <c r="AB151" s="44"/>
      <c r="AC151" s="44"/>
      <c r="AD151" s="45"/>
      <c r="AE151" s="44"/>
      <c r="AF151" s="44"/>
      <c r="AG151" s="44"/>
      <c r="AH151" s="45"/>
      <c r="AI151" s="44"/>
      <c r="AJ151" s="44"/>
      <c r="AK151" s="44"/>
      <c r="AL151" s="45"/>
    </row>
    <row r="152" spans="1:38" s="42" customFormat="1" ht="1" x14ac:dyDescent="0.2">
      <c r="A152" s="43"/>
      <c r="B152" s="39"/>
      <c r="C152" s="44"/>
      <c r="D152" s="44"/>
      <c r="E152" s="44"/>
      <c r="F152" s="45"/>
      <c r="G152" s="44"/>
      <c r="H152" s="44"/>
      <c r="I152" s="44"/>
      <c r="J152" s="45"/>
      <c r="K152" s="44"/>
      <c r="L152" s="44"/>
      <c r="M152" s="44"/>
      <c r="N152" s="45"/>
      <c r="O152" s="44"/>
      <c r="P152" s="44"/>
      <c r="Q152" s="44"/>
      <c r="R152" s="45"/>
      <c r="S152" s="44"/>
      <c r="T152" s="44"/>
      <c r="U152" s="44"/>
      <c r="V152" s="45"/>
      <c r="W152" s="44"/>
      <c r="X152" s="44"/>
      <c r="Y152" s="44"/>
      <c r="Z152" s="45"/>
      <c r="AA152" s="44"/>
      <c r="AB152" s="44"/>
      <c r="AC152" s="44"/>
      <c r="AD152" s="45"/>
      <c r="AE152" s="44"/>
      <c r="AF152" s="44"/>
      <c r="AG152" s="44"/>
      <c r="AH152" s="45"/>
      <c r="AI152" s="44"/>
      <c r="AJ152" s="44"/>
      <c r="AK152" s="44"/>
      <c r="AL152" s="45"/>
    </row>
    <row r="153" spans="1:38" s="42" customFormat="1" x14ac:dyDescent="0.2">
      <c r="A153" s="43"/>
      <c r="B153" s="39"/>
      <c r="C153" s="40"/>
      <c r="D153" s="40"/>
      <c r="E153" s="40"/>
      <c r="F153" s="41"/>
      <c r="G153" s="40"/>
      <c r="H153" s="40"/>
      <c r="I153" s="40"/>
      <c r="J153" s="41"/>
      <c r="K153" s="40"/>
      <c r="L153" s="40"/>
      <c r="M153" s="40"/>
      <c r="N153" s="41"/>
      <c r="O153" s="40"/>
      <c r="P153" s="40"/>
      <c r="Q153" s="40"/>
      <c r="R153" s="41"/>
      <c r="S153" s="40"/>
      <c r="T153" s="40"/>
      <c r="U153" s="40"/>
      <c r="V153" s="41"/>
      <c r="W153" s="40"/>
      <c r="X153" s="40"/>
      <c r="Y153" s="40"/>
      <c r="Z153" s="41"/>
      <c r="AA153" s="40"/>
      <c r="AB153" s="40"/>
      <c r="AC153" s="40"/>
      <c r="AD153" s="41"/>
      <c r="AE153" s="40"/>
      <c r="AF153" s="40"/>
      <c r="AG153" s="40"/>
      <c r="AH153" s="41"/>
      <c r="AI153" s="40"/>
      <c r="AJ153" s="40"/>
      <c r="AK153" s="46"/>
      <c r="AL153" s="47"/>
    </row>
    <row r="154" spans="1:38" s="42" customFormat="1" ht="1" x14ac:dyDescent="0.2">
      <c r="A154" s="38"/>
      <c r="B154" s="39"/>
      <c r="C154" s="40"/>
      <c r="D154" s="40"/>
      <c r="E154" s="40"/>
      <c r="F154" s="41"/>
      <c r="G154" s="40"/>
      <c r="H154" s="40"/>
      <c r="I154" s="40"/>
      <c r="J154" s="41"/>
      <c r="K154" s="40"/>
      <c r="L154" s="40"/>
      <c r="M154" s="40"/>
      <c r="N154" s="41"/>
      <c r="O154" s="40"/>
      <c r="P154" s="40"/>
      <c r="Q154" s="40"/>
      <c r="R154" s="41"/>
      <c r="S154" s="40"/>
      <c r="T154" s="40"/>
      <c r="U154" s="40"/>
      <c r="V154" s="41"/>
      <c r="W154" s="40"/>
      <c r="X154" s="40"/>
      <c r="Y154" s="40"/>
      <c r="Z154" s="41"/>
      <c r="AA154" s="40"/>
      <c r="AB154" s="40"/>
      <c r="AC154" s="40"/>
      <c r="AD154" s="41"/>
      <c r="AE154" s="40"/>
      <c r="AF154" s="40"/>
      <c r="AG154" s="40"/>
      <c r="AH154" s="41"/>
      <c r="AI154" s="40"/>
      <c r="AJ154" s="40"/>
      <c r="AK154" s="40"/>
      <c r="AL154" s="41"/>
    </row>
    <row r="155" spans="1:38" s="42" customFormat="1" x14ac:dyDescent="0.2">
      <c r="A155" s="43"/>
      <c r="B155" s="39"/>
      <c r="C155" s="40"/>
      <c r="D155" s="40"/>
      <c r="E155" s="40"/>
      <c r="F155" s="41"/>
      <c r="G155" s="40"/>
      <c r="H155" s="40"/>
      <c r="I155" s="40"/>
      <c r="J155" s="41"/>
      <c r="K155" s="40"/>
      <c r="L155" s="40"/>
      <c r="M155" s="40"/>
      <c r="N155" s="41"/>
      <c r="O155" s="40"/>
      <c r="P155" s="40"/>
      <c r="Q155" s="40"/>
      <c r="R155" s="41"/>
      <c r="S155" s="40"/>
      <c r="T155" s="40"/>
      <c r="U155" s="40"/>
      <c r="V155" s="41"/>
      <c r="W155" s="40"/>
      <c r="X155" s="40"/>
      <c r="Y155" s="40"/>
      <c r="Z155" s="41"/>
      <c r="AA155" s="40"/>
      <c r="AB155" s="40"/>
      <c r="AC155" s="40"/>
      <c r="AD155" s="41"/>
      <c r="AE155" s="40"/>
      <c r="AF155" s="40"/>
      <c r="AG155" s="40"/>
      <c r="AH155" s="41"/>
      <c r="AI155" s="40"/>
      <c r="AJ155" s="40"/>
      <c r="AK155" s="46"/>
      <c r="AL155" s="47"/>
    </row>
    <row r="156" spans="1:38" s="42" customFormat="1" x14ac:dyDescent="0.2">
      <c r="A156" s="38"/>
      <c r="B156" s="39"/>
      <c r="C156" s="40"/>
      <c r="D156" s="40"/>
      <c r="E156" s="40"/>
      <c r="F156" s="41"/>
      <c r="G156" s="40"/>
      <c r="H156" s="40"/>
      <c r="I156" s="40"/>
      <c r="J156" s="41"/>
      <c r="K156" s="40"/>
      <c r="L156" s="40"/>
      <c r="M156" s="40"/>
      <c r="N156" s="41"/>
      <c r="O156" s="40"/>
      <c r="P156" s="40"/>
      <c r="Q156" s="40"/>
      <c r="R156" s="41"/>
      <c r="S156" s="40"/>
      <c r="T156" s="40"/>
      <c r="U156" s="40"/>
      <c r="V156" s="41"/>
      <c r="W156" s="40"/>
      <c r="X156" s="40"/>
      <c r="Y156" s="40"/>
      <c r="Z156" s="41"/>
      <c r="AA156" s="40"/>
      <c r="AB156" s="40"/>
      <c r="AC156" s="40"/>
      <c r="AD156" s="41"/>
      <c r="AE156" s="40"/>
      <c r="AF156" s="40"/>
      <c r="AG156" s="40"/>
      <c r="AH156" s="41"/>
      <c r="AI156" s="40"/>
      <c r="AJ156" s="40"/>
      <c r="AK156" s="40"/>
      <c r="AL156" s="41"/>
    </row>
    <row r="157" spans="1:38" s="42" customFormat="1" ht="1" x14ac:dyDescent="0.2">
      <c r="A157" s="43"/>
      <c r="B157" s="39"/>
      <c r="C157" s="40"/>
      <c r="D157" s="40"/>
      <c r="E157" s="40"/>
      <c r="F157" s="41"/>
      <c r="G157" s="40"/>
      <c r="H157" s="40"/>
      <c r="I157" s="40"/>
      <c r="J157" s="41"/>
      <c r="K157" s="40"/>
      <c r="L157" s="40"/>
      <c r="M157" s="40"/>
      <c r="N157" s="41"/>
      <c r="O157" s="40"/>
      <c r="P157" s="40"/>
      <c r="Q157" s="40"/>
      <c r="R157" s="41"/>
      <c r="S157" s="40"/>
      <c r="T157" s="40"/>
      <c r="U157" s="40"/>
      <c r="V157" s="41"/>
      <c r="W157" s="40"/>
      <c r="X157" s="40"/>
      <c r="Y157" s="40"/>
      <c r="Z157" s="41"/>
      <c r="AA157" s="40"/>
      <c r="AB157" s="40"/>
      <c r="AC157" s="40"/>
      <c r="AD157" s="41"/>
      <c r="AE157" s="40"/>
      <c r="AF157" s="40"/>
      <c r="AG157" s="40"/>
      <c r="AH157" s="41"/>
      <c r="AI157" s="40"/>
      <c r="AJ157" s="40"/>
      <c r="AK157" s="40"/>
      <c r="AL157" s="41"/>
    </row>
    <row r="158" spans="1:38" s="42" customFormat="1" ht="1" x14ac:dyDescent="0.2">
      <c r="A158" s="48"/>
      <c r="B158" s="39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1"/>
      <c r="AE158" s="40"/>
      <c r="AF158" s="40"/>
      <c r="AG158" s="40"/>
      <c r="AH158" s="41"/>
      <c r="AI158" s="40"/>
      <c r="AJ158" s="40"/>
      <c r="AK158" s="40"/>
      <c r="AL158" s="41"/>
    </row>
    <row r="159" spans="1:38" s="42" customFormat="1" ht="1" x14ac:dyDescent="0.2">
      <c r="A159" s="48"/>
      <c r="B159" s="39"/>
      <c r="C159" s="40"/>
      <c r="D159" s="40"/>
      <c r="E159" s="40"/>
      <c r="F159" s="41"/>
      <c r="G159" s="40"/>
      <c r="H159" s="40"/>
      <c r="I159" s="40"/>
      <c r="J159" s="41"/>
      <c r="K159" s="40"/>
      <c r="L159" s="40"/>
      <c r="M159" s="40"/>
      <c r="N159" s="41"/>
      <c r="O159" s="40"/>
      <c r="P159" s="40"/>
      <c r="Q159" s="40"/>
      <c r="R159" s="41"/>
      <c r="S159" s="40"/>
      <c r="T159" s="40"/>
      <c r="U159" s="40"/>
      <c r="V159" s="41"/>
      <c r="W159" s="40"/>
      <c r="X159" s="40"/>
      <c r="Y159" s="40"/>
      <c r="Z159" s="41"/>
      <c r="AA159" s="40"/>
      <c r="AB159" s="40"/>
      <c r="AC159" s="40"/>
      <c r="AD159" s="41"/>
      <c r="AE159" s="40"/>
      <c r="AF159" s="40"/>
      <c r="AG159" s="40"/>
      <c r="AH159" s="41"/>
      <c r="AI159" s="40"/>
      <c r="AJ159" s="40"/>
      <c r="AK159" s="40"/>
      <c r="AL159" s="41"/>
    </row>
    <row r="160" spans="1:38" s="42" customFormat="1" x14ac:dyDescent="0.2">
      <c r="A160" s="48"/>
      <c r="B160" s="39"/>
      <c r="C160" s="40"/>
      <c r="D160" s="40"/>
      <c r="E160" s="40"/>
      <c r="F160" s="41"/>
      <c r="G160" s="40"/>
      <c r="H160" s="40"/>
      <c r="I160" s="40"/>
      <c r="J160" s="41"/>
      <c r="K160" s="40"/>
      <c r="L160" s="40"/>
      <c r="M160" s="40"/>
      <c r="N160" s="41"/>
      <c r="O160" s="40"/>
      <c r="P160" s="40"/>
      <c r="Q160" s="40"/>
      <c r="R160" s="41"/>
      <c r="S160" s="40"/>
      <c r="T160" s="40"/>
      <c r="U160" s="40"/>
      <c r="V160" s="41"/>
      <c r="W160" s="40"/>
      <c r="X160" s="40"/>
      <c r="Y160" s="40"/>
      <c r="Z160" s="41"/>
      <c r="AA160" s="40"/>
      <c r="AB160" s="40"/>
      <c r="AC160" s="40"/>
      <c r="AD160" s="41"/>
      <c r="AE160" s="40"/>
      <c r="AF160" s="40"/>
      <c r="AG160" s="40"/>
      <c r="AH160" s="41"/>
      <c r="AI160" s="40"/>
      <c r="AJ160" s="40"/>
      <c r="AK160" s="40"/>
      <c r="AL160" s="40"/>
    </row>
    <row r="161" spans="1:38" s="42" customFormat="1" ht="1" x14ac:dyDescent="0.2">
      <c r="A161" s="43"/>
      <c r="B161" s="39"/>
      <c r="C161" s="40"/>
      <c r="D161" s="40"/>
      <c r="E161" s="40"/>
      <c r="F161" s="41"/>
      <c r="G161" s="40"/>
      <c r="H161" s="40"/>
      <c r="I161" s="40"/>
      <c r="J161" s="41"/>
      <c r="K161" s="40"/>
      <c r="L161" s="40"/>
      <c r="M161" s="40"/>
      <c r="N161" s="41"/>
      <c r="O161" s="40"/>
      <c r="P161" s="40"/>
      <c r="Q161" s="40"/>
      <c r="R161" s="41"/>
      <c r="S161" s="40"/>
      <c r="T161" s="40"/>
      <c r="U161" s="40"/>
      <c r="V161" s="41"/>
      <c r="W161" s="40"/>
      <c r="X161" s="40"/>
      <c r="Y161" s="40"/>
      <c r="Z161" s="41"/>
      <c r="AA161" s="40"/>
      <c r="AB161" s="40"/>
      <c r="AC161" s="40"/>
      <c r="AD161" s="41"/>
      <c r="AE161" s="40"/>
      <c r="AF161" s="40"/>
      <c r="AG161" s="40"/>
      <c r="AH161" s="41"/>
      <c r="AI161" s="40"/>
      <c r="AJ161" s="40"/>
      <c r="AK161" s="40"/>
      <c r="AL161" s="40"/>
    </row>
    <row r="162" spans="1:38" s="42" customFormat="1" ht="1" x14ac:dyDescent="0.2">
      <c r="A162" s="43"/>
      <c r="B162" s="39"/>
      <c r="C162" s="40"/>
      <c r="D162" s="40"/>
      <c r="E162" s="40"/>
      <c r="F162" s="41"/>
      <c r="G162" s="40"/>
      <c r="H162" s="40"/>
      <c r="I162" s="40"/>
      <c r="J162" s="41"/>
      <c r="K162" s="40"/>
      <c r="L162" s="40"/>
      <c r="M162" s="40"/>
      <c r="N162" s="41"/>
      <c r="O162" s="40"/>
      <c r="P162" s="40"/>
      <c r="Q162" s="40"/>
      <c r="R162" s="41"/>
      <c r="S162" s="40"/>
      <c r="T162" s="40"/>
      <c r="U162" s="40"/>
      <c r="V162" s="41"/>
      <c r="W162" s="40"/>
      <c r="X162" s="40"/>
      <c r="Y162" s="40"/>
      <c r="Z162" s="41"/>
      <c r="AA162" s="40"/>
      <c r="AB162" s="40"/>
      <c r="AC162" s="40"/>
      <c r="AD162" s="41"/>
      <c r="AE162" s="40"/>
      <c r="AF162" s="40"/>
      <c r="AG162" s="40"/>
      <c r="AH162" s="41"/>
      <c r="AI162" s="40"/>
      <c r="AJ162" s="40"/>
      <c r="AK162" s="40"/>
      <c r="AL162" s="40"/>
    </row>
    <row r="163" spans="1:38" s="42" customFormat="1" ht="1" x14ac:dyDescent="0.2">
      <c r="A163" s="38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50"/>
      <c r="U163" s="50"/>
      <c r="V163" s="51"/>
      <c r="W163" s="50"/>
      <c r="X163" s="50"/>
      <c r="Y163" s="50"/>
      <c r="Z163" s="51"/>
      <c r="AA163" s="50"/>
      <c r="AB163" s="50"/>
      <c r="AC163" s="50"/>
      <c r="AD163" s="51"/>
      <c r="AE163" s="50"/>
      <c r="AF163" s="52"/>
      <c r="AG163" s="52"/>
      <c r="AH163" s="53"/>
      <c r="AI163" s="50"/>
      <c r="AJ163" s="52"/>
      <c r="AK163" s="52"/>
      <c r="AL163" s="53"/>
    </row>
    <row r="164" spans="1:38" s="42" customFormat="1" ht="1" x14ac:dyDescent="0.2">
      <c r="A164" s="43"/>
      <c r="B164" s="39"/>
      <c r="C164" s="40"/>
      <c r="D164" s="40"/>
      <c r="E164" s="40"/>
      <c r="F164" s="41"/>
      <c r="G164" s="40"/>
      <c r="H164" s="40"/>
      <c r="I164" s="40"/>
      <c r="J164" s="41"/>
      <c r="K164" s="40"/>
      <c r="L164" s="40"/>
      <c r="M164" s="40"/>
      <c r="N164" s="41"/>
      <c r="O164" s="40"/>
      <c r="P164" s="40"/>
      <c r="Q164" s="40"/>
      <c r="R164" s="41"/>
      <c r="S164" s="40"/>
      <c r="T164" s="40"/>
      <c r="U164" s="40"/>
      <c r="V164" s="41"/>
      <c r="W164" s="40"/>
      <c r="X164" s="40"/>
      <c r="Y164" s="40"/>
      <c r="Z164" s="41"/>
      <c r="AA164" s="40"/>
      <c r="AB164" s="40"/>
      <c r="AC164" s="40"/>
      <c r="AD164" s="41"/>
      <c r="AE164" s="40"/>
      <c r="AF164" s="40"/>
      <c r="AG164" s="40"/>
      <c r="AH164" s="41"/>
      <c r="AI164" s="40"/>
      <c r="AJ164" s="40"/>
      <c r="AK164" s="40"/>
      <c r="AL164" s="41"/>
    </row>
    <row r="165" spans="1:38" s="42" customFormat="1" ht="1" x14ac:dyDescent="0.2">
      <c r="A165" s="43"/>
      <c r="B165" s="39"/>
      <c r="C165" s="40"/>
      <c r="D165" s="40"/>
      <c r="E165" s="40"/>
      <c r="F165" s="41"/>
      <c r="G165" s="40"/>
      <c r="H165" s="40"/>
      <c r="I165" s="40"/>
      <c r="J165" s="41"/>
      <c r="K165" s="40"/>
      <c r="L165" s="40"/>
      <c r="M165" s="40"/>
      <c r="N165" s="41"/>
      <c r="O165" s="40"/>
      <c r="P165" s="40"/>
      <c r="Q165" s="40"/>
      <c r="R165" s="41"/>
      <c r="S165" s="40"/>
      <c r="T165" s="40"/>
      <c r="U165" s="40"/>
      <c r="V165" s="41"/>
      <c r="W165" s="40"/>
      <c r="X165" s="40"/>
      <c r="Y165" s="40"/>
      <c r="Z165" s="41"/>
      <c r="AA165" s="40"/>
      <c r="AB165" s="40"/>
      <c r="AC165" s="40"/>
      <c r="AD165" s="41"/>
      <c r="AE165" s="40"/>
      <c r="AF165" s="40"/>
      <c r="AG165" s="40"/>
      <c r="AH165" s="41"/>
      <c r="AI165" s="40"/>
      <c r="AJ165" s="40"/>
      <c r="AK165" s="40"/>
      <c r="AL165" s="41"/>
    </row>
    <row r="166" spans="1:38" s="42" customFormat="1" ht="1" x14ac:dyDescent="0.2">
      <c r="A166" s="43"/>
      <c r="B166" s="39"/>
      <c r="C166" s="40"/>
      <c r="D166" s="40"/>
      <c r="E166" s="40"/>
      <c r="F166" s="41"/>
      <c r="G166" s="40"/>
      <c r="H166" s="40"/>
      <c r="I166" s="40"/>
      <c r="J166" s="41"/>
      <c r="K166" s="40"/>
      <c r="L166" s="40"/>
      <c r="M166" s="40"/>
      <c r="N166" s="41"/>
      <c r="O166" s="40"/>
      <c r="P166" s="40"/>
      <c r="Q166" s="40"/>
      <c r="R166" s="41"/>
      <c r="S166" s="40"/>
      <c r="T166" s="40"/>
      <c r="U166" s="40"/>
      <c r="V166" s="41"/>
      <c r="W166" s="40"/>
      <c r="X166" s="40"/>
      <c r="Y166" s="40"/>
      <c r="Z166" s="41"/>
      <c r="AA166" s="40"/>
      <c r="AB166" s="40"/>
      <c r="AC166" s="40"/>
      <c r="AD166" s="41"/>
      <c r="AE166" s="40"/>
      <c r="AF166" s="40"/>
      <c r="AG166" s="40"/>
      <c r="AH166" s="41"/>
      <c r="AI166" s="40"/>
      <c r="AJ166" s="40"/>
      <c r="AK166" s="40"/>
      <c r="AL166" s="41"/>
    </row>
    <row r="167" spans="1:38" s="42" customFormat="1" ht="1" x14ac:dyDescent="0.2">
      <c r="A167" s="43"/>
      <c r="B167" s="39"/>
      <c r="C167" s="40"/>
      <c r="D167" s="40"/>
      <c r="E167" s="40"/>
      <c r="F167" s="41"/>
      <c r="G167" s="40"/>
      <c r="H167" s="40"/>
      <c r="I167" s="40"/>
      <c r="J167" s="41"/>
      <c r="K167" s="40"/>
      <c r="L167" s="40"/>
      <c r="M167" s="40"/>
      <c r="N167" s="41"/>
      <c r="O167" s="40"/>
      <c r="P167" s="40"/>
      <c r="Q167" s="40"/>
      <c r="R167" s="41"/>
      <c r="S167" s="40"/>
      <c r="T167" s="40"/>
      <c r="U167" s="40"/>
      <c r="V167" s="41"/>
      <c r="W167" s="40"/>
      <c r="X167" s="40"/>
      <c r="Y167" s="40"/>
      <c r="Z167" s="41"/>
      <c r="AA167" s="40"/>
      <c r="AB167" s="40"/>
      <c r="AC167" s="40"/>
      <c r="AD167" s="41"/>
      <c r="AE167" s="40"/>
      <c r="AF167" s="40"/>
      <c r="AG167" s="40"/>
      <c r="AH167" s="41"/>
      <c r="AI167" s="40"/>
      <c r="AJ167" s="40"/>
      <c r="AK167" s="40"/>
      <c r="AL167" s="41"/>
    </row>
    <row r="168" spans="1:38" s="42" customFormat="1" ht="7" x14ac:dyDescent="0.2">
      <c r="A168" s="43"/>
      <c r="B168" s="39"/>
      <c r="C168" s="40"/>
      <c r="D168" s="40"/>
      <c r="E168" s="40"/>
      <c r="F168" s="41"/>
      <c r="G168" s="40"/>
      <c r="H168" s="40"/>
      <c r="I168" s="40"/>
      <c r="J168" s="41"/>
      <c r="K168" s="40"/>
      <c r="L168" s="40"/>
      <c r="M168" s="40"/>
      <c r="N168" s="41"/>
      <c r="O168" s="40"/>
      <c r="P168" s="40"/>
      <c r="Q168" s="40"/>
      <c r="R168" s="41"/>
      <c r="S168" s="40"/>
      <c r="T168" s="40"/>
      <c r="U168" s="40"/>
      <c r="V168" s="41"/>
      <c r="W168" s="40"/>
      <c r="X168" s="40"/>
      <c r="Y168" s="40"/>
      <c r="Z168" s="41"/>
      <c r="AA168" s="40"/>
      <c r="AB168" s="40"/>
      <c r="AC168" s="40"/>
      <c r="AD168" s="41"/>
      <c r="AE168" s="40"/>
      <c r="AF168" s="40"/>
      <c r="AG168" s="40"/>
      <c r="AH168" s="41"/>
      <c r="AI168" s="40"/>
      <c r="AJ168" s="40"/>
      <c r="AK168" s="40"/>
      <c r="AL168" s="41"/>
    </row>
    <row r="169" spans="1:38" s="42" customFormat="1" ht="1" x14ac:dyDescent="0.2">
      <c r="A169" s="43"/>
      <c r="B169" s="39"/>
      <c r="C169" s="40"/>
      <c r="D169" s="40"/>
      <c r="E169" s="40"/>
      <c r="F169" s="41"/>
      <c r="G169" s="40"/>
      <c r="H169" s="40"/>
      <c r="I169" s="40"/>
      <c r="J169" s="41"/>
      <c r="K169" s="40"/>
      <c r="L169" s="40"/>
      <c r="M169" s="40"/>
      <c r="N169" s="41"/>
      <c r="O169" s="40"/>
      <c r="P169" s="40"/>
      <c r="Q169" s="40"/>
      <c r="R169" s="41"/>
      <c r="S169" s="40"/>
      <c r="T169" s="40"/>
      <c r="U169" s="40"/>
      <c r="V169" s="41"/>
      <c r="W169" s="40"/>
      <c r="X169" s="40"/>
      <c r="Y169" s="40"/>
      <c r="Z169" s="41"/>
      <c r="AA169" s="40"/>
      <c r="AB169" s="40"/>
      <c r="AC169" s="40"/>
      <c r="AD169" s="41"/>
      <c r="AE169" s="40"/>
      <c r="AF169" s="40"/>
      <c r="AG169" s="40"/>
      <c r="AH169" s="41"/>
      <c r="AI169" s="40"/>
      <c r="AJ169" s="40"/>
      <c r="AK169" s="40"/>
      <c r="AL169" s="41"/>
    </row>
    <row r="170" spans="1:38" s="42" customFormat="1" ht="1" x14ac:dyDescent="0.2">
      <c r="A170" s="43"/>
      <c r="B170" s="39"/>
      <c r="C170" s="40"/>
      <c r="D170" s="40"/>
      <c r="E170" s="40"/>
      <c r="F170" s="41"/>
      <c r="G170" s="40"/>
      <c r="H170" s="40"/>
      <c r="I170" s="40"/>
      <c r="J170" s="41"/>
      <c r="K170" s="40"/>
      <c r="L170" s="40"/>
      <c r="M170" s="40"/>
      <c r="N170" s="41"/>
      <c r="O170" s="40"/>
      <c r="P170" s="40"/>
      <c r="Q170" s="40"/>
      <c r="R170" s="41"/>
      <c r="S170" s="40"/>
      <c r="T170" s="40"/>
      <c r="U170" s="40"/>
      <c r="V170" s="41"/>
      <c r="W170" s="40"/>
      <c r="X170" s="40"/>
      <c r="Y170" s="40"/>
      <c r="Z170" s="41"/>
      <c r="AA170" s="40"/>
      <c r="AB170" s="40"/>
      <c r="AC170" s="40"/>
      <c r="AD170" s="41"/>
      <c r="AE170" s="40"/>
      <c r="AF170" s="40"/>
      <c r="AG170" s="40"/>
      <c r="AH170" s="41"/>
      <c r="AI170" s="40"/>
      <c r="AJ170" s="40"/>
      <c r="AK170" s="40"/>
      <c r="AL170" s="41"/>
    </row>
    <row r="171" spans="1:38" s="42" customFormat="1" ht="6" x14ac:dyDescent="0.2">
      <c r="A171" s="43"/>
      <c r="B171" s="39"/>
      <c r="C171" s="40"/>
      <c r="D171" s="40"/>
      <c r="E171" s="40"/>
      <c r="F171" s="41"/>
      <c r="G171" s="40"/>
      <c r="H171" s="40"/>
      <c r="I171" s="40"/>
      <c r="J171" s="41"/>
      <c r="K171" s="40"/>
      <c r="L171" s="40"/>
      <c r="M171" s="40"/>
      <c r="N171" s="41"/>
      <c r="O171" s="40"/>
      <c r="P171" s="40"/>
      <c r="Q171" s="40"/>
      <c r="R171" s="41"/>
      <c r="S171" s="40"/>
      <c r="T171" s="40"/>
      <c r="U171" s="40"/>
      <c r="V171" s="41"/>
      <c r="W171" s="40"/>
      <c r="X171" s="40"/>
      <c r="Y171" s="40"/>
      <c r="Z171" s="41"/>
      <c r="AA171" s="40"/>
      <c r="AB171" s="40"/>
      <c r="AC171" s="40"/>
      <c r="AD171" s="41"/>
      <c r="AE171" s="40"/>
      <c r="AF171" s="40"/>
      <c r="AG171" s="40"/>
      <c r="AH171" s="41"/>
      <c r="AI171" s="40"/>
      <c r="AJ171" s="40"/>
      <c r="AK171" s="40"/>
      <c r="AL171" s="41"/>
    </row>
    <row r="172" spans="1:38" s="42" customFormat="1" ht="1" x14ac:dyDescent="0.2">
      <c r="A172" s="43"/>
      <c r="B172" s="39"/>
      <c r="C172" s="40"/>
      <c r="D172" s="40"/>
      <c r="E172" s="40"/>
      <c r="F172" s="41"/>
      <c r="G172" s="40"/>
      <c r="H172" s="40"/>
      <c r="I172" s="40"/>
      <c r="J172" s="41"/>
      <c r="K172" s="40"/>
      <c r="L172" s="40"/>
      <c r="M172" s="40"/>
      <c r="N172" s="41"/>
      <c r="O172" s="40"/>
      <c r="P172" s="40"/>
      <c r="Q172" s="40"/>
      <c r="R172" s="41"/>
      <c r="S172" s="40"/>
      <c r="T172" s="40"/>
      <c r="U172" s="40"/>
      <c r="V172" s="41"/>
      <c r="W172" s="40"/>
      <c r="X172" s="40"/>
      <c r="Y172" s="40"/>
      <c r="Z172" s="41"/>
      <c r="AA172" s="40"/>
      <c r="AB172" s="40"/>
      <c r="AC172" s="40"/>
      <c r="AD172" s="41"/>
      <c r="AE172" s="40"/>
      <c r="AF172" s="40"/>
      <c r="AG172" s="40"/>
      <c r="AH172" s="41"/>
      <c r="AI172" s="40"/>
      <c r="AJ172" s="40"/>
      <c r="AK172" s="40"/>
      <c r="AL172" s="41"/>
    </row>
    <row r="173" spans="1:38" s="42" customFormat="1" ht="1" x14ac:dyDescent="0.2">
      <c r="A173" s="43"/>
      <c r="B173" s="39"/>
      <c r="C173" s="40"/>
      <c r="D173" s="40"/>
      <c r="E173" s="40"/>
      <c r="F173" s="41"/>
      <c r="G173" s="40"/>
      <c r="H173" s="40"/>
      <c r="I173" s="40"/>
      <c r="J173" s="41"/>
      <c r="K173" s="40"/>
      <c r="L173" s="40"/>
      <c r="M173" s="40"/>
      <c r="N173" s="41"/>
      <c r="O173" s="40"/>
      <c r="P173" s="40"/>
      <c r="Q173" s="40"/>
      <c r="R173" s="41"/>
      <c r="S173" s="40"/>
      <c r="T173" s="40"/>
      <c r="U173" s="40"/>
      <c r="V173" s="41"/>
      <c r="W173" s="40"/>
      <c r="X173" s="40"/>
      <c r="Y173" s="40"/>
      <c r="Z173" s="41"/>
      <c r="AA173" s="40"/>
      <c r="AB173" s="40"/>
      <c r="AC173" s="40"/>
      <c r="AD173" s="41"/>
      <c r="AE173" s="40"/>
      <c r="AF173" s="40"/>
      <c r="AG173" s="40"/>
      <c r="AH173" s="41"/>
      <c r="AI173" s="40"/>
      <c r="AJ173" s="40"/>
      <c r="AK173" s="40"/>
      <c r="AL173" s="41"/>
    </row>
    <row r="174" spans="1:38" s="42" customFormat="1" ht="7" x14ac:dyDescent="0.2">
      <c r="A174" s="43"/>
      <c r="B174" s="39"/>
      <c r="C174" s="40"/>
      <c r="D174" s="40"/>
      <c r="E174" s="40"/>
      <c r="F174" s="41"/>
      <c r="G174" s="40"/>
      <c r="H174" s="40"/>
      <c r="I174" s="40"/>
      <c r="J174" s="41"/>
      <c r="K174" s="40"/>
      <c r="L174" s="40"/>
      <c r="M174" s="40"/>
      <c r="N174" s="41"/>
      <c r="O174" s="40"/>
      <c r="P174" s="40"/>
      <c r="Q174" s="40"/>
      <c r="R174" s="41"/>
      <c r="S174" s="40"/>
      <c r="T174" s="40"/>
      <c r="U174" s="40"/>
      <c r="V174" s="41"/>
      <c r="W174" s="40"/>
      <c r="X174" s="40"/>
      <c r="Y174" s="40"/>
      <c r="Z174" s="41"/>
      <c r="AA174" s="40"/>
      <c r="AB174" s="40"/>
      <c r="AC174" s="40"/>
      <c r="AD174" s="41"/>
      <c r="AE174" s="40"/>
      <c r="AF174" s="46"/>
      <c r="AG174" s="40"/>
      <c r="AH174" s="41"/>
      <c r="AI174" s="40"/>
      <c r="AJ174" s="40"/>
      <c r="AK174" s="40"/>
      <c r="AL174" s="41"/>
    </row>
    <row r="175" spans="1:38" s="42" customFormat="1" ht="1" x14ac:dyDescent="0.2">
      <c r="A175" s="43"/>
      <c r="B175" s="39"/>
      <c r="C175" s="40"/>
      <c r="D175" s="40"/>
      <c r="E175" s="40"/>
      <c r="F175" s="41"/>
      <c r="G175" s="40"/>
      <c r="H175" s="40"/>
      <c r="I175" s="40"/>
      <c r="J175" s="41"/>
      <c r="K175" s="40"/>
      <c r="L175" s="40"/>
      <c r="M175" s="40"/>
      <c r="N175" s="41"/>
      <c r="O175" s="40"/>
      <c r="P175" s="40"/>
      <c r="Q175" s="40"/>
      <c r="R175" s="41"/>
      <c r="S175" s="40"/>
      <c r="T175" s="40"/>
      <c r="U175" s="40"/>
      <c r="V175" s="41"/>
      <c r="W175" s="40"/>
      <c r="X175" s="40"/>
      <c r="Y175" s="40"/>
      <c r="Z175" s="41"/>
      <c r="AA175" s="40"/>
      <c r="AB175" s="40"/>
      <c r="AC175" s="40"/>
      <c r="AD175" s="41"/>
      <c r="AE175" s="40"/>
      <c r="AF175" s="46"/>
      <c r="AG175" s="40"/>
      <c r="AH175" s="41"/>
      <c r="AI175" s="40"/>
      <c r="AJ175" s="40"/>
      <c r="AK175" s="40"/>
      <c r="AL175" s="41"/>
    </row>
    <row r="176" spans="1:38" s="42" customFormat="1" ht="3" x14ac:dyDescent="0.2">
      <c r="A176" s="43"/>
      <c r="B176" s="39"/>
      <c r="C176" s="40"/>
      <c r="D176" s="40"/>
      <c r="E176" s="40"/>
      <c r="F176" s="41"/>
      <c r="G176" s="40"/>
      <c r="H176" s="40"/>
      <c r="I176" s="40"/>
      <c r="J176" s="41"/>
      <c r="K176" s="40"/>
      <c r="L176" s="40"/>
      <c r="M176" s="40"/>
      <c r="N176" s="41"/>
      <c r="O176" s="40"/>
      <c r="P176" s="40"/>
      <c r="Q176" s="40"/>
      <c r="R176" s="41"/>
      <c r="S176" s="40"/>
      <c r="T176" s="40"/>
      <c r="U176" s="40"/>
      <c r="V176" s="41"/>
      <c r="W176" s="40"/>
      <c r="X176" s="40"/>
      <c r="Y176" s="40"/>
      <c r="Z176" s="41"/>
      <c r="AA176" s="40"/>
      <c r="AB176" s="40"/>
      <c r="AC176" s="40"/>
      <c r="AD176" s="41"/>
      <c r="AE176" s="40"/>
      <c r="AF176" s="46"/>
      <c r="AG176" s="40"/>
      <c r="AH176" s="41"/>
      <c r="AI176" s="40"/>
      <c r="AJ176" s="40"/>
      <c r="AK176" s="40"/>
      <c r="AL176" s="41"/>
    </row>
    <row r="177" spans="1:39" s="42" customFormat="1" ht="1" x14ac:dyDescent="0.2">
      <c r="A177" s="43"/>
      <c r="B177" s="39"/>
      <c r="C177" s="40"/>
      <c r="D177" s="40"/>
      <c r="E177" s="40"/>
      <c r="F177" s="41"/>
      <c r="G177" s="40"/>
      <c r="H177" s="40"/>
      <c r="I177" s="40"/>
      <c r="J177" s="41"/>
      <c r="K177" s="40"/>
      <c r="L177" s="40"/>
      <c r="M177" s="40"/>
      <c r="N177" s="41"/>
      <c r="O177" s="40"/>
      <c r="P177" s="40"/>
      <c r="Q177" s="40"/>
      <c r="R177" s="41"/>
      <c r="S177" s="40"/>
      <c r="T177" s="40"/>
      <c r="U177" s="40"/>
      <c r="V177" s="41"/>
      <c r="W177" s="40"/>
      <c r="X177" s="40"/>
      <c r="Y177" s="40"/>
      <c r="Z177" s="41"/>
      <c r="AA177" s="40"/>
      <c r="AB177" s="40"/>
      <c r="AC177" s="40"/>
      <c r="AD177" s="41"/>
      <c r="AE177" s="40"/>
      <c r="AF177" s="46"/>
      <c r="AG177" s="40"/>
      <c r="AH177" s="41"/>
      <c r="AI177" s="40"/>
      <c r="AJ177" s="40"/>
      <c r="AK177" s="40"/>
      <c r="AL177" s="41"/>
    </row>
    <row r="178" spans="1:39" s="42" customFormat="1" ht="2" x14ac:dyDescent="0.2">
      <c r="A178" s="43"/>
      <c r="B178" s="39"/>
      <c r="C178" s="40"/>
      <c r="D178" s="40"/>
      <c r="E178" s="40"/>
      <c r="F178" s="41"/>
      <c r="G178" s="40"/>
      <c r="H178" s="40"/>
      <c r="I178" s="40"/>
      <c r="J178" s="41"/>
      <c r="K178" s="40"/>
      <c r="L178" s="40"/>
      <c r="M178" s="40"/>
      <c r="N178" s="41"/>
      <c r="O178" s="40"/>
      <c r="P178" s="40"/>
      <c r="Q178" s="40"/>
      <c r="R178" s="41"/>
      <c r="S178" s="40"/>
      <c r="T178" s="40"/>
      <c r="U178" s="40"/>
      <c r="V178" s="41"/>
      <c r="W178" s="40"/>
      <c r="X178" s="40"/>
      <c r="Y178" s="40"/>
      <c r="Z178" s="41"/>
      <c r="AA178" s="40"/>
      <c r="AB178" s="40"/>
      <c r="AC178" s="40"/>
      <c r="AD178" s="41"/>
      <c r="AE178" s="40"/>
      <c r="AF178" s="46"/>
      <c r="AG178" s="40"/>
      <c r="AH178" s="41"/>
      <c r="AI178" s="40"/>
      <c r="AJ178" s="40"/>
      <c r="AK178" s="40"/>
      <c r="AL178" s="41"/>
    </row>
    <row r="179" spans="1:39" s="42" customFormat="1" ht="1" x14ac:dyDescent="0.2">
      <c r="A179" s="43"/>
      <c r="B179" s="39"/>
      <c r="C179" s="40"/>
      <c r="D179" s="40"/>
      <c r="E179" s="40"/>
      <c r="F179" s="41"/>
      <c r="G179" s="40"/>
      <c r="H179" s="40"/>
      <c r="I179" s="40"/>
      <c r="J179" s="41"/>
      <c r="K179" s="40"/>
      <c r="L179" s="40"/>
      <c r="M179" s="40"/>
      <c r="N179" s="41"/>
      <c r="O179" s="40"/>
      <c r="P179" s="40"/>
      <c r="Q179" s="40"/>
      <c r="R179" s="41"/>
      <c r="S179" s="40"/>
      <c r="T179" s="40"/>
      <c r="U179" s="40"/>
      <c r="V179" s="41"/>
      <c r="W179" s="40"/>
      <c r="X179" s="40"/>
      <c r="Y179" s="40"/>
      <c r="Z179" s="41"/>
      <c r="AA179" s="40"/>
      <c r="AB179" s="40"/>
      <c r="AC179" s="40"/>
      <c r="AD179" s="41"/>
      <c r="AE179" s="40"/>
      <c r="AF179" s="46"/>
      <c r="AG179" s="40"/>
      <c r="AH179" s="41"/>
      <c r="AI179" s="40"/>
      <c r="AJ179" s="40"/>
      <c r="AK179" s="40"/>
      <c r="AL179" s="41"/>
    </row>
    <row r="180" spans="1:39" s="42" customFormat="1" ht="1" x14ac:dyDescent="0.2">
      <c r="A180" s="43"/>
      <c r="B180" s="39"/>
      <c r="C180" s="40"/>
      <c r="D180" s="40"/>
      <c r="E180" s="40"/>
      <c r="F180" s="41"/>
      <c r="G180" s="40"/>
      <c r="H180" s="40"/>
      <c r="I180" s="40"/>
      <c r="J180" s="41"/>
      <c r="K180" s="40"/>
      <c r="L180" s="40"/>
      <c r="M180" s="40"/>
      <c r="N180" s="41"/>
      <c r="O180" s="40"/>
      <c r="P180" s="40"/>
      <c r="Q180" s="40"/>
      <c r="R180" s="41"/>
      <c r="S180" s="40"/>
      <c r="T180" s="40"/>
      <c r="U180" s="40"/>
      <c r="V180" s="41"/>
      <c r="W180" s="40"/>
      <c r="X180" s="40"/>
      <c r="Y180" s="40"/>
      <c r="Z180" s="41"/>
      <c r="AA180" s="40"/>
      <c r="AB180" s="40"/>
      <c r="AC180" s="40"/>
      <c r="AD180" s="41"/>
      <c r="AE180" s="40"/>
      <c r="AF180" s="46"/>
      <c r="AG180" s="40"/>
      <c r="AH180" s="41"/>
      <c r="AI180" s="40"/>
      <c r="AJ180" s="40"/>
      <c r="AK180" s="40"/>
      <c r="AL180" s="41"/>
    </row>
    <row r="181" spans="1:39" s="42" customFormat="1" ht="12" x14ac:dyDescent="0.2">
      <c r="A181" s="43"/>
      <c r="B181" s="39"/>
      <c r="C181" s="40"/>
      <c r="D181" s="40"/>
      <c r="E181" s="40"/>
      <c r="F181" s="41"/>
      <c r="G181" s="40"/>
      <c r="H181" s="40"/>
      <c r="I181" s="40"/>
      <c r="J181" s="41"/>
      <c r="K181" s="40"/>
      <c r="L181" s="40"/>
      <c r="M181" s="40"/>
      <c r="N181" s="41"/>
      <c r="O181" s="40"/>
      <c r="P181" s="40"/>
      <c r="Q181" s="40"/>
      <c r="R181" s="41"/>
      <c r="S181" s="40"/>
      <c r="T181" s="40"/>
      <c r="U181" s="40"/>
      <c r="V181" s="41"/>
      <c r="W181" s="40"/>
      <c r="X181" s="40"/>
      <c r="Y181" s="40"/>
      <c r="Z181" s="41"/>
      <c r="AA181" s="40"/>
      <c r="AB181" s="40"/>
      <c r="AC181" s="40"/>
      <c r="AD181" s="41"/>
      <c r="AE181" s="40"/>
      <c r="AF181" s="46"/>
      <c r="AG181" s="40"/>
      <c r="AH181" s="41"/>
      <c r="AI181" s="40"/>
      <c r="AJ181" s="40"/>
      <c r="AK181" s="40"/>
      <c r="AL181" s="41"/>
    </row>
    <row r="182" spans="1:39" s="42" customFormat="1" ht="1" x14ac:dyDescent="0.2">
      <c r="A182" s="43"/>
      <c r="B182" s="39"/>
      <c r="C182" s="40"/>
      <c r="D182" s="40"/>
      <c r="E182" s="40"/>
      <c r="F182" s="41"/>
      <c r="G182" s="40"/>
      <c r="H182" s="40"/>
      <c r="I182" s="40"/>
      <c r="J182" s="41"/>
      <c r="K182" s="40"/>
      <c r="L182" s="40"/>
      <c r="M182" s="40"/>
      <c r="N182" s="41"/>
      <c r="O182" s="40"/>
      <c r="P182" s="40"/>
      <c r="Q182" s="40"/>
      <c r="R182" s="41"/>
      <c r="S182" s="40"/>
      <c r="T182" s="40"/>
      <c r="U182" s="40"/>
      <c r="V182" s="41"/>
      <c r="W182" s="40"/>
      <c r="X182" s="40"/>
      <c r="Y182" s="40"/>
      <c r="Z182" s="41"/>
      <c r="AA182" s="40"/>
      <c r="AB182" s="40"/>
      <c r="AC182" s="40"/>
      <c r="AD182" s="41"/>
      <c r="AE182" s="40"/>
      <c r="AF182" s="46"/>
      <c r="AG182" s="40"/>
      <c r="AH182" s="41"/>
      <c r="AI182" s="40"/>
      <c r="AJ182" s="40"/>
      <c r="AK182" s="40"/>
      <c r="AL182" s="41"/>
    </row>
    <row r="183" spans="1:39" s="42" customFormat="1" ht="5" x14ac:dyDescent="0.2">
      <c r="A183" s="43"/>
      <c r="B183" s="39"/>
      <c r="C183" s="40"/>
      <c r="D183" s="40"/>
      <c r="E183" s="40"/>
      <c r="F183" s="41"/>
      <c r="G183" s="40"/>
      <c r="H183" s="40"/>
      <c r="I183" s="40"/>
      <c r="J183" s="41"/>
      <c r="K183" s="40"/>
      <c r="L183" s="40"/>
      <c r="M183" s="40"/>
      <c r="N183" s="41"/>
      <c r="O183" s="40"/>
      <c r="P183" s="40"/>
      <c r="Q183" s="40"/>
      <c r="R183" s="41"/>
      <c r="S183" s="40"/>
      <c r="T183" s="40"/>
      <c r="U183" s="40"/>
      <c r="V183" s="41"/>
      <c r="W183" s="40"/>
      <c r="X183" s="40"/>
      <c r="Y183" s="40"/>
      <c r="Z183" s="41"/>
      <c r="AA183" s="40"/>
      <c r="AB183" s="40"/>
      <c r="AC183" s="40"/>
      <c r="AD183" s="41"/>
      <c r="AE183" s="40"/>
      <c r="AF183" s="46"/>
      <c r="AG183" s="40"/>
      <c r="AH183" s="41"/>
      <c r="AI183" s="40"/>
      <c r="AJ183" s="40"/>
      <c r="AK183" s="40"/>
      <c r="AL183" s="41"/>
    </row>
    <row r="184" spans="1:39" s="42" customFormat="1" ht="1" x14ac:dyDescent="0.2">
      <c r="A184" s="54"/>
      <c r="B184" s="54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</row>
    <row r="185" spans="1:39" s="42" customFormat="1" x14ac:dyDescent="0.2"/>
    <row r="186" spans="1:39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</row>
    <row r="187" spans="1:39" x14ac:dyDescent="0.2">
      <c r="A187" s="5" t="s">
        <v>36</v>
      </c>
      <c r="B187" s="6" t="s">
        <v>37</v>
      </c>
      <c r="C187" s="7"/>
      <c r="D187" s="7"/>
      <c r="E187" s="7"/>
      <c r="F187" s="8">
        <v>43100</v>
      </c>
      <c r="G187" s="7"/>
      <c r="H187" s="7"/>
      <c r="I187" s="7"/>
      <c r="J187" s="8">
        <v>43465</v>
      </c>
      <c r="K187" s="7"/>
      <c r="L187" s="7"/>
      <c r="M187" s="7"/>
      <c r="N187" s="8">
        <v>43830</v>
      </c>
      <c r="O187" s="7"/>
      <c r="P187" s="7"/>
      <c r="Q187" s="7"/>
      <c r="R187" s="8">
        <v>44196</v>
      </c>
      <c r="S187" s="7"/>
      <c r="T187" s="7"/>
      <c r="U187" s="7"/>
      <c r="V187" s="8">
        <v>44561</v>
      </c>
      <c r="W187" s="7"/>
      <c r="X187" s="7"/>
      <c r="Y187" s="7"/>
      <c r="Z187" s="8">
        <v>44926</v>
      </c>
      <c r="AA187" s="7"/>
      <c r="AB187" s="7"/>
      <c r="AC187" s="7"/>
      <c r="AD187" s="8">
        <v>45291</v>
      </c>
      <c r="AE187" s="7"/>
      <c r="AF187" s="7"/>
      <c r="AG187" s="7"/>
      <c r="AH187" s="8">
        <v>45657</v>
      </c>
      <c r="AI187" s="7"/>
      <c r="AJ187" s="7"/>
      <c r="AK187" s="7"/>
      <c r="AL187" s="8">
        <v>46022</v>
      </c>
    </row>
    <row r="188" spans="1:39" x14ac:dyDescent="0.2">
      <c r="A188" s="9" t="s">
        <v>43</v>
      </c>
      <c r="B188" s="10" t="s">
        <v>44</v>
      </c>
      <c r="C188" s="16"/>
      <c r="D188" s="16"/>
      <c r="E188" s="16"/>
      <c r="F188" s="17">
        <v>1278841.595</v>
      </c>
      <c r="G188" s="16"/>
      <c r="H188" s="16"/>
      <c r="I188" s="16"/>
      <c r="J188" s="17">
        <v>1479501.12793797</v>
      </c>
      <c r="K188" s="16"/>
      <c r="L188" s="16"/>
      <c r="M188" s="16"/>
      <c r="N188" s="17">
        <v>1481177.58845645</v>
      </c>
      <c r="O188" s="16"/>
      <c r="P188" s="16"/>
      <c r="Q188" s="16"/>
      <c r="R188" s="17">
        <v>1538700.7315724001</v>
      </c>
      <c r="S188" s="16"/>
      <c r="T188" s="16"/>
      <c r="U188" s="16"/>
      <c r="V188" s="17">
        <v>1808289.2797530503</v>
      </c>
      <c r="W188" s="16"/>
      <c r="X188" s="16"/>
      <c r="Y188" s="16"/>
      <c r="Z188" s="17">
        <v>1816747.6409735598</v>
      </c>
      <c r="AA188" s="16"/>
      <c r="AB188" s="16"/>
      <c r="AC188" s="16"/>
      <c r="AD188" s="17">
        <v>2285058.3567506298</v>
      </c>
      <c r="AE188" s="16"/>
      <c r="AF188" s="16"/>
      <c r="AG188" s="16"/>
      <c r="AH188" s="17">
        <v>3720036.6880075196</v>
      </c>
      <c r="AI188" s="16"/>
      <c r="AJ188" s="16"/>
      <c r="AK188" s="16"/>
      <c r="AL188" s="17">
        <v>3976613.88690557</v>
      </c>
    </row>
    <row r="189" spans="1:39" x14ac:dyDescent="0.2">
      <c r="A189" s="18" t="s">
        <v>45</v>
      </c>
      <c r="B189" s="19" t="s">
        <v>44</v>
      </c>
      <c r="C189" s="20"/>
      <c r="D189" s="20"/>
      <c r="E189" s="20"/>
      <c r="F189" s="21">
        <v>331536.826</v>
      </c>
      <c r="G189" s="20"/>
      <c r="H189" s="20"/>
      <c r="I189" s="20"/>
      <c r="J189" s="21">
        <v>452399.85352926998</v>
      </c>
      <c r="K189" s="20"/>
      <c r="L189" s="20"/>
      <c r="M189" s="20"/>
      <c r="N189" s="21">
        <v>409374.10540273</v>
      </c>
      <c r="O189" s="20"/>
      <c r="P189" s="20"/>
      <c r="Q189" s="20"/>
      <c r="R189" s="21">
        <v>430517.25141763996</v>
      </c>
      <c r="S189" s="20"/>
      <c r="T189" s="20"/>
      <c r="U189" s="20"/>
      <c r="V189" s="21">
        <v>524402.36945885001</v>
      </c>
      <c r="W189" s="20"/>
      <c r="X189" s="20"/>
      <c r="Y189" s="20"/>
      <c r="Z189" s="21">
        <v>511299.21649573999</v>
      </c>
      <c r="AA189" s="20"/>
      <c r="AB189" s="20"/>
      <c r="AC189" s="20"/>
      <c r="AD189" s="21">
        <v>775060.92792341998</v>
      </c>
      <c r="AE189" s="20"/>
      <c r="AF189" s="20"/>
      <c r="AG189" s="20"/>
      <c r="AH189" s="21">
        <v>2033132.82002421</v>
      </c>
      <c r="AI189" s="20"/>
      <c r="AJ189" s="20"/>
      <c r="AK189" s="20"/>
      <c r="AL189" s="21">
        <v>2253618.3213273804</v>
      </c>
    </row>
    <row r="190" spans="1:39" x14ac:dyDescent="0.2">
      <c r="A190" s="13"/>
      <c r="B190" s="6"/>
      <c r="C190" s="22"/>
      <c r="D190" s="22"/>
      <c r="E190" s="22"/>
      <c r="F190" s="23"/>
      <c r="G190" s="22"/>
      <c r="H190" s="22"/>
      <c r="I190" s="22"/>
      <c r="J190" s="23"/>
      <c r="K190" s="22"/>
      <c r="L190" s="24"/>
      <c r="M190" s="24"/>
      <c r="N190" s="25"/>
      <c r="O190" s="24"/>
      <c r="P190" s="24"/>
      <c r="Q190" s="24"/>
      <c r="R190" s="25"/>
      <c r="S190" s="24"/>
      <c r="T190" s="24"/>
      <c r="U190" s="24"/>
      <c r="V190" s="25"/>
      <c r="W190" s="24"/>
      <c r="X190" s="24"/>
      <c r="Y190" s="24"/>
      <c r="Z190" s="25"/>
      <c r="AA190" s="24"/>
      <c r="AB190" s="24"/>
      <c r="AC190" s="24"/>
      <c r="AD190" s="25"/>
      <c r="AE190" s="24"/>
      <c r="AF190" s="24"/>
      <c r="AG190" s="24"/>
      <c r="AH190" s="25"/>
      <c r="AI190" s="24"/>
      <c r="AJ190" s="24"/>
      <c r="AK190" s="24"/>
      <c r="AL190" s="25"/>
    </row>
    <row r="191" spans="1:39" x14ac:dyDescent="0.2">
      <c r="A191" s="13"/>
      <c r="B191" s="6"/>
      <c r="C191" s="22"/>
      <c r="D191" s="22"/>
      <c r="E191" s="22"/>
      <c r="F191" s="23"/>
      <c r="G191" s="22"/>
      <c r="H191" s="22"/>
      <c r="I191" s="22"/>
      <c r="J191" s="23"/>
      <c r="K191" s="22"/>
      <c r="L191" s="22"/>
      <c r="M191" s="22"/>
      <c r="N191" s="23"/>
      <c r="O191" s="22"/>
      <c r="P191" s="22"/>
      <c r="Q191" s="22"/>
      <c r="R191" s="23"/>
      <c r="S191" s="22"/>
      <c r="T191" s="22"/>
      <c r="U191" s="22"/>
      <c r="V191" s="25"/>
      <c r="W191" s="24"/>
      <c r="X191" s="24"/>
      <c r="Y191" s="24"/>
      <c r="Z191" s="25"/>
      <c r="AA191" s="24"/>
      <c r="AB191" s="24"/>
      <c r="AC191" s="24"/>
      <c r="AD191" s="25"/>
      <c r="AE191" s="24"/>
      <c r="AF191" s="24"/>
      <c r="AG191" s="24"/>
      <c r="AH191" s="25"/>
      <c r="AI191" s="24"/>
      <c r="AJ191" s="24"/>
      <c r="AK191" s="24"/>
      <c r="AL191" s="25"/>
    </row>
    <row r="192" spans="1:39" x14ac:dyDescent="0.2">
      <c r="A192" s="13"/>
      <c r="B192" s="6"/>
      <c r="C192" s="22"/>
      <c r="D192" s="22"/>
      <c r="E192" s="22"/>
      <c r="F192" s="23"/>
      <c r="G192" s="22"/>
      <c r="H192" s="22"/>
      <c r="I192" s="22"/>
      <c r="J192" s="23"/>
      <c r="K192" s="22"/>
      <c r="L192" s="22"/>
      <c r="M192" s="22"/>
      <c r="N192" s="23"/>
      <c r="O192" s="22"/>
      <c r="P192" s="22"/>
      <c r="Q192" s="22"/>
      <c r="R192" s="23"/>
      <c r="S192" s="22"/>
      <c r="T192" s="22"/>
      <c r="U192" s="22"/>
      <c r="V192" s="25"/>
      <c r="W192" s="24"/>
      <c r="X192" s="24"/>
      <c r="Y192" s="24"/>
      <c r="Z192" s="25"/>
      <c r="AA192" s="24"/>
      <c r="AB192" s="24"/>
      <c r="AC192" s="24"/>
      <c r="AD192" s="25"/>
      <c r="AE192" s="24"/>
      <c r="AF192" s="24"/>
      <c r="AG192" s="24"/>
      <c r="AH192" s="25"/>
      <c r="AI192" s="24"/>
      <c r="AJ192" s="24"/>
      <c r="AK192" s="24"/>
      <c r="AL192" s="25"/>
    </row>
    <row r="193" spans="1:38" x14ac:dyDescent="0.2">
      <c r="A193" s="13"/>
      <c r="B193" s="6"/>
      <c r="C193" s="22"/>
      <c r="D193" s="22"/>
      <c r="E193" s="22"/>
      <c r="F193" s="23"/>
      <c r="G193" s="22"/>
      <c r="H193" s="22"/>
      <c r="I193" s="22"/>
      <c r="J193" s="23"/>
      <c r="K193" s="22"/>
      <c r="L193" s="22"/>
      <c r="M193" s="22"/>
      <c r="N193" s="23"/>
      <c r="O193" s="22"/>
      <c r="P193" s="22"/>
      <c r="Q193" s="22"/>
      <c r="R193" s="23"/>
      <c r="S193" s="22"/>
      <c r="T193" s="22"/>
      <c r="U193" s="22"/>
      <c r="V193" s="25"/>
      <c r="W193" s="24"/>
      <c r="X193" s="24"/>
      <c r="Y193" s="24"/>
      <c r="Z193" s="25"/>
      <c r="AA193" s="24"/>
      <c r="AB193" s="24"/>
      <c r="AC193" s="24"/>
      <c r="AD193" s="25"/>
      <c r="AE193" s="24"/>
      <c r="AF193" s="24"/>
      <c r="AG193" s="24"/>
      <c r="AH193" s="25"/>
      <c r="AI193" s="24"/>
      <c r="AJ193" s="24"/>
      <c r="AK193" s="24"/>
      <c r="AL193" s="25"/>
    </row>
    <row r="194" spans="1:38" x14ac:dyDescent="0.2">
      <c r="A194" s="13"/>
      <c r="B194" s="6"/>
      <c r="C194" s="22"/>
      <c r="D194" s="22"/>
      <c r="E194" s="22"/>
      <c r="F194" s="23"/>
      <c r="G194" s="22"/>
      <c r="H194" s="22"/>
      <c r="I194" s="22"/>
      <c r="J194" s="23"/>
      <c r="K194" s="22"/>
      <c r="L194" s="22"/>
      <c r="M194" s="22"/>
      <c r="N194" s="23"/>
      <c r="O194" s="22"/>
      <c r="P194" s="22"/>
      <c r="Q194" s="22"/>
      <c r="R194" s="23"/>
      <c r="S194" s="22"/>
      <c r="T194" s="22"/>
      <c r="U194" s="22"/>
      <c r="V194" s="25"/>
      <c r="W194" s="24"/>
      <c r="X194" s="24"/>
      <c r="Y194" s="24"/>
      <c r="Z194" s="25"/>
      <c r="AA194" s="24"/>
      <c r="AB194" s="24"/>
      <c r="AC194" s="24"/>
      <c r="AD194" s="25"/>
      <c r="AE194" s="24"/>
      <c r="AF194" s="24"/>
      <c r="AG194" s="24"/>
      <c r="AH194" s="25"/>
      <c r="AI194" s="24"/>
      <c r="AJ194" s="24"/>
      <c r="AK194" s="24"/>
      <c r="AL194" s="25"/>
    </row>
    <row r="195" spans="1:38" x14ac:dyDescent="0.2">
      <c r="A195" s="13"/>
      <c r="B195" s="6"/>
      <c r="C195" s="24"/>
      <c r="D195" s="24"/>
      <c r="E195" s="24"/>
      <c r="F195" s="25"/>
      <c r="G195" s="24"/>
      <c r="H195" s="24"/>
      <c r="I195" s="24"/>
      <c r="J195" s="25"/>
      <c r="K195" s="24"/>
      <c r="L195" s="24"/>
      <c r="M195" s="24"/>
      <c r="N195" s="25"/>
      <c r="O195" s="24"/>
      <c r="P195" s="24"/>
      <c r="Q195" s="24"/>
      <c r="R195" s="25"/>
      <c r="S195" s="24"/>
      <c r="T195" s="24"/>
      <c r="U195" s="24"/>
      <c r="V195" s="25"/>
      <c r="W195" s="24"/>
      <c r="X195" s="24"/>
      <c r="Y195" s="24"/>
      <c r="Z195" s="25"/>
      <c r="AA195" s="24"/>
      <c r="AB195" s="24"/>
      <c r="AC195" s="24"/>
      <c r="AD195" s="25"/>
      <c r="AE195" s="24"/>
      <c r="AF195" s="24"/>
      <c r="AG195" s="24"/>
      <c r="AH195" s="25"/>
      <c r="AI195" s="24"/>
      <c r="AJ195" s="24"/>
      <c r="AK195" s="24"/>
      <c r="AL195" s="25"/>
    </row>
    <row r="196" spans="1:38" x14ac:dyDescent="0.2">
      <c r="A196" s="18" t="s">
        <v>53</v>
      </c>
      <c r="B196" s="19" t="s">
        <v>44</v>
      </c>
      <c r="C196" s="20"/>
      <c r="D196" s="20"/>
      <c r="E196" s="20"/>
      <c r="F196" s="21">
        <v>121249.27899999999</v>
      </c>
      <c r="G196" s="20"/>
      <c r="H196" s="20"/>
      <c r="I196" s="20"/>
      <c r="J196" s="21">
        <v>169520.91928634001</v>
      </c>
      <c r="K196" s="20"/>
      <c r="L196" s="20"/>
      <c r="M196" s="20"/>
      <c r="N196" s="21">
        <v>187366.45723306001</v>
      </c>
      <c r="O196" s="20"/>
      <c r="P196" s="20"/>
      <c r="Q196" s="20"/>
      <c r="R196" s="21">
        <v>202309.85724447001</v>
      </c>
      <c r="S196" s="20"/>
      <c r="T196" s="20"/>
      <c r="U196" s="20"/>
      <c r="V196" s="21">
        <v>261893.41848785002</v>
      </c>
      <c r="W196" s="20"/>
      <c r="X196" s="20"/>
      <c r="Y196" s="20"/>
      <c r="Z196" s="21">
        <v>207182.37176380001</v>
      </c>
      <c r="AA196" s="20"/>
      <c r="AB196" s="20"/>
      <c r="AC196" s="20"/>
      <c r="AD196" s="21">
        <v>200056.1197213</v>
      </c>
      <c r="AE196" s="20"/>
      <c r="AF196" s="20"/>
      <c r="AG196" s="20"/>
      <c r="AH196" s="21">
        <v>168044.49514741998</v>
      </c>
      <c r="AI196" s="20"/>
      <c r="AJ196" s="20"/>
      <c r="AK196" s="20"/>
      <c r="AL196" s="21">
        <v>157469.06201140999</v>
      </c>
    </row>
    <row r="197" spans="1:38" x14ac:dyDescent="0.2">
      <c r="A197" s="18" t="s">
        <v>54</v>
      </c>
      <c r="B197" s="19" t="s">
        <v>44</v>
      </c>
      <c r="C197" s="20"/>
      <c r="D197" s="20"/>
      <c r="E197" s="20"/>
      <c r="F197" s="21">
        <v>140007.95199999999</v>
      </c>
      <c r="G197" s="20"/>
      <c r="H197" s="20"/>
      <c r="I197" s="20"/>
      <c r="J197" s="21">
        <v>151842.79319455998</v>
      </c>
      <c r="K197" s="20"/>
      <c r="L197" s="20"/>
      <c r="M197" s="20"/>
      <c r="N197" s="21">
        <v>180654.78731472002</v>
      </c>
      <c r="O197" s="20"/>
      <c r="P197" s="20"/>
      <c r="Q197" s="20"/>
      <c r="R197" s="21">
        <v>176964.7114112</v>
      </c>
      <c r="S197" s="20"/>
      <c r="T197" s="20"/>
      <c r="U197" s="20"/>
      <c r="V197" s="21">
        <v>199927.18893276001</v>
      </c>
      <c r="W197" s="20"/>
      <c r="X197" s="20"/>
      <c r="Y197" s="20"/>
      <c r="Z197" s="21">
        <v>213702.21177008</v>
      </c>
      <c r="AA197" s="20"/>
      <c r="AB197" s="20"/>
      <c r="AC197" s="20"/>
      <c r="AD197" s="21">
        <v>253498.47438211</v>
      </c>
      <c r="AE197" s="20"/>
      <c r="AF197" s="20"/>
      <c r="AG197" s="20"/>
      <c r="AH197" s="21">
        <v>328295.88177381997</v>
      </c>
      <c r="AI197" s="20"/>
      <c r="AJ197" s="20"/>
      <c r="AK197" s="20"/>
      <c r="AL197" s="21">
        <v>323650.70912163</v>
      </c>
    </row>
    <row r="198" spans="1:38" x14ac:dyDescent="0.2">
      <c r="A198" s="18" t="s">
        <v>55</v>
      </c>
      <c r="B198" s="19" t="s">
        <v>44</v>
      </c>
      <c r="C198" s="20"/>
      <c r="D198" s="20"/>
      <c r="E198" s="20"/>
      <c r="F198" s="21">
        <v>162495.76199999999</v>
      </c>
      <c r="G198" s="20"/>
      <c r="H198" s="20"/>
      <c r="I198" s="20"/>
      <c r="J198" s="21">
        <v>168691.75581793999</v>
      </c>
      <c r="K198" s="20"/>
      <c r="L198" s="20"/>
      <c r="M198" s="20"/>
      <c r="N198" s="21">
        <v>170546.90619518</v>
      </c>
      <c r="O198" s="20"/>
      <c r="P198" s="20"/>
      <c r="Q198" s="20"/>
      <c r="R198" s="21">
        <v>175422.86972841999</v>
      </c>
      <c r="S198" s="20"/>
      <c r="T198" s="20"/>
      <c r="U198" s="20"/>
      <c r="V198" s="21">
        <v>207076.23168139</v>
      </c>
      <c r="W198" s="20"/>
      <c r="X198" s="20"/>
      <c r="Y198" s="20"/>
      <c r="Z198" s="21">
        <v>222845.42192754001</v>
      </c>
      <c r="AA198" s="20"/>
      <c r="AB198" s="20"/>
      <c r="AC198" s="20"/>
      <c r="AD198" s="21">
        <v>270638.65012462001</v>
      </c>
      <c r="AE198" s="20"/>
      <c r="AF198" s="20"/>
      <c r="AG198" s="20"/>
      <c r="AH198" s="21">
        <v>323157.78376357001</v>
      </c>
      <c r="AI198" s="20"/>
      <c r="AJ198" s="20"/>
      <c r="AK198" s="20"/>
      <c r="AL198" s="21">
        <v>338831.25434488</v>
      </c>
    </row>
    <row r="199" spans="1:38" x14ac:dyDescent="0.2">
      <c r="A199" s="18" t="s">
        <v>56</v>
      </c>
      <c r="B199" s="19" t="s">
        <v>44</v>
      </c>
      <c r="C199" s="20"/>
      <c r="D199" s="20"/>
      <c r="E199" s="20"/>
      <c r="F199" s="21">
        <v>95988.475000000006</v>
      </c>
      <c r="G199" s="20"/>
      <c r="H199" s="20"/>
      <c r="I199" s="20"/>
      <c r="J199" s="21">
        <v>88523.651796270002</v>
      </c>
      <c r="K199" s="20"/>
      <c r="L199" s="20"/>
      <c r="M199" s="20"/>
      <c r="N199" s="21">
        <v>103322.29912424</v>
      </c>
      <c r="O199" s="20"/>
      <c r="P199" s="20"/>
      <c r="Q199" s="20"/>
      <c r="R199" s="21">
        <v>113142.52014571</v>
      </c>
      <c r="S199" s="20"/>
      <c r="T199" s="20"/>
      <c r="U199" s="20"/>
      <c r="V199" s="21">
        <v>120193.46877626001</v>
      </c>
      <c r="W199" s="20"/>
      <c r="X199" s="20"/>
      <c r="Y199" s="20"/>
      <c r="Z199" s="21">
        <v>128641.80370799</v>
      </c>
      <c r="AA199" s="20"/>
      <c r="AB199" s="20"/>
      <c r="AC199" s="20"/>
      <c r="AD199" s="21">
        <v>133944.20850393001</v>
      </c>
      <c r="AE199" s="20"/>
      <c r="AF199" s="20"/>
      <c r="AG199" s="20"/>
      <c r="AH199" s="21">
        <v>150858.40396193002</v>
      </c>
      <c r="AI199" s="20"/>
      <c r="AJ199" s="20"/>
      <c r="AK199" s="20"/>
      <c r="AL199" s="21">
        <v>170294.37503252001</v>
      </c>
    </row>
    <row r="200" spans="1:38" x14ac:dyDescent="0.2">
      <c r="A200" s="18" t="s">
        <v>57</v>
      </c>
      <c r="B200" s="19" t="s">
        <v>44</v>
      </c>
      <c r="C200" s="20"/>
      <c r="D200" s="20"/>
      <c r="E200" s="20"/>
      <c r="F200" s="21">
        <v>57406.517999999996</v>
      </c>
      <c r="G200" s="20"/>
      <c r="H200" s="20"/>
      <c r="I200" s="20"/>
      <c r="J200" s="21">
        <v>64810.51387232</v>
      </c>
      <c r="K200" s="20"/>
      <c r="L200" s="20"/>
      <c r="M200" s="20"/>
      <c r="N200" s="21">
        <v>71900.592745410002</v>
      </c>
      <c r="O200" s="20"/>
      <c r="P200" s="20"/>
      <c r="Q200" s="20"/>
      <c r="R200" s="21">
        <v>71650.464138420008</v>
      </c>
      <c r="S200" s="20"/>
      <c r="T200" s="20"/>
      <c r="U200" s="20"/>
      <c r="V200" s="21">
        <v>81776.524004320003</v>
      </c>
      <c r="W200" s="20"/>
      <c r="X200" s="20"/>
      <c r="Y200" s="20"/>
      <c r="Z200" s="21">
        <v>84251.617754130013</v>
      </c>
      <c r="AA200" s="20"/>
      <c r="AB200" s="20"/>
      <c r="AC200" s="20"/>
      <c r="AD200" s="21">
        <v>117359.77028734999</v>
      </c>
      <c r="AE200" s="20"/>
      <c r="AF200" s="20"/>
      <c r="AG200" s="20"/>
      <c r="AH200" s="21">
        <v>126247.92931050999</v>
      </c>
      <c r="AI200" s="20"/>
      <c r="AJ200" s="20"/>
      <c r="AK200" s="20"/>
      <c r="AL200" s="21">
        <v>136924.79581459999</v>
      </c>
    </row>
    <row r="201" spans="1:38" x14ac:dyDescent="0.2">
      <c r="A201" s="18" t="s">
        <v>58</v>
      </c>
      <c r="B201" s="19" t="s">
        <v>44</v>
      </c>
      <c r="C201" s="20"/>
      <c r="D201" s="20"/>
      <c r="E201" s="20"/>
      <c r="F201" s="21">
        <v>222075.98</v>
      </c>
      <c r="G201" s="20"/>
      <c r="H201" s="20"/>
      <c r="I201" s="20"/>
      <c r="J201" s="21">
        <v>225965.14246104</v>
      </c>
      <c r="K201" s="20"/>
      <c r="L201" s="20"/>
      <c r="M201" s="20"/>
      <c r="N201" s="21">
        <v>214948.97987406998</v>
      </c>
      <c r="O201" s="20"/>
      <c r="P201" s="20"/>
      <c r="Q201" s="20"/>
      <c r="R201" s="21">
        <v>220021.17709178998</v>
      </c>
      <c r="S201" s="20"/>
      <c r="T201" s="20"/>
      <c r="U201" s="20"/>
      <c r="V201" s="21">
        <v>225548.34837118001</v>
      </c>
      <c r="W201" s="20"/>
      <c r="X201" s="20"/>
      <c r="Y201" s="20"/>
      <c r="Z201" s="21">
        <v>273103.35541081999</v>
      </c>
      <c r="AA201" s="20"/>
      <c r="AB201" s="20"/>
      <c r="AC201" s="20"/>
      <c r="AD201" s="21">
        <v>324416.06333568</v>
      </c>
      <c r="AE201" s="20"/>
      <c r="AF201" s="20"/>
      <c r="AG201" s="20"/>
      <c r="AH201" s="21">
        <v>331940.74120816001</v>
      </c>
      <c r="AI201" s="20"/>
      <c r="AJ201" s="20"/>
      <c r="AK201" s="20"/>
      <c r="AL201" s="21">
        <v>330281.69073136995</v>
      </c>
    </row>
    <row r="202" spans="1:38" x14ac:dyDescent="0.2">
      <c r="A202" s="18" t="s">
        <v>59</v>
      </c>
      <c r="B202" s="19" t="s">
        <v>44</v>
      </c>
      <c r="C202" s="20"/>
      <c r="D202" s="20"/>
      <c r="E202" s="20"/>
      <c r="F202" s="21">
        <v>148080.80299999999</v>
      </c>
      <c r="G202" s="20"/>
      <c r="H202" s="20"/>
      <c r="I202" s="20"/>
      <c r="J202" s="21">
        <v>157746.49798022996</v>
      </c>
      <c r="K202" s="20"/>
      <c r="L202" s="20"/>
      <c r="M202" s="20"/>
      <c r="N202" s="21">
        <v>143063.46056704008</v>
      </c>
      <c r="O202" s="20"/>
      <c r="P202" s="20"/>
      <c r="Q202" s="20"/>
      <c r="R202" s="21">
        <v>148671.88039475013</v>
      </c>
      <c r="S202" s="20"/>
      <c r="T202" s="20"/>
      <c r="U202" s="20"/>
      <c r="V202" s="21">
        <v>187471.73004044022</v>
      </c>
      <c r="W202" s="20"/>
      <c r="X202" s="20"/>
      <c r="Y202" s="20"/>
      <c r="Z202" s="21">
        <v>175721.64214345976</v>
      </c>
      <c r="AA202" s="20"/>
      <c r="AB202" s="20"/>
      <c r="AC202" s="20"/>
      <c r="AD202" s="21">
        <v>210084.14247222006</v>
      </c>
      <c r="AE202" s="20"/>
      <c r="AF202" s="20"/>
      <c r="AG202" s="20"/>
      <c r="AH202" s="21">
        <v>258358.63281789963</v>
      </c>
      <c r="AI202" s="20"/>
      <c r="AJ202" s="20"/>
      <c r="AK202" s="20"/>
      <c r="AL202" s="21">
        <v>265543.67852177966</v>
      </c>
    </row>
    <row r="204" spans="1:38" x14ac:dyDescent="0.2">
      <c r="A204" s="9" t="s">
        <v>62</v>
      </c>
      <c r="B204" s="10" t="s">
        <v>39</v>
      </c>
      <c r="C204" s="27"/>
      <c r="D204" s="27"/>
      <c r="E204" s="27"/>
      <c r="F204" s="28">
        <v>193112018</v>
      </c>
      <c r="G204" s="27"/>
      <c r="H204" s="27"/>
      <c r="I204" s="27"/>
      <c r="J204" s="28">
        <v>202556322</v>
      </c>
      <c r="K204" s="27"/>
      <c r="L204" s="27"/>
      <c r="M204" s="27"/>
      <c r="N204" s="28">
        <v>208109759</v>
      </c>
      <c r="O204" s="27"/>
      <c r="P204" s="27"/>
      <c r="Q204" s="27"/>
      <c r="R204" s="28">
        <v>175104790</v>
      </c>
      <c r="S204" s="27"/>
      <c r="T204" s="27"/>
      <c r="U204" s="27"/>
      <c r="V204" s="28">
        <v>242239790</v>
      </c>
      <c r="W204" s="27"/>
      <c r="X204" s="27"/>
      <c r="Y204" s="27"/>
      <c r="Z204" s="28">
        <v>241311293</v>
      </c>
      <c r="AA204" s="27"/>
      <c r="AB204" s="27"/>
      <c r="AC204" s="27"/>
      <c r="AD204" s="28">
        <v>300908983</v>
      </c>
      <c r="AE204" s="27"/>
      <c r="AF204" s="27"/>
      <c r="AG204" s="27"/>
      <c r="AH204" s="28">
        <v>298569102</v>
      </c>
      <c r="AI204" s="27"/>
      <c r="AJ204" s="27"/>
      <c r="AK204" s="27"/>
      <c r="AL204" s="28">
        <v>395478982</v>
      </c>
    </row>
    <row r="205" spans="1:38" x14ac:dyDescent="0.2">
      <c r="A205" s="18" t="s">
        <v>45</v>
      </c>
      <c r="B205" s="19" t="s">
        <v>39</v>
      </c>
      <c r="C205" s="29"/>
      <c r="D205" s="29"/>
      <c r="E205" s="29"/>
      <c r="F205" s="30">
        <v>4537172</v>
      </c>
      <c r="G205" s="29"/>
      <c r="H205" s="29"/>
      <c r="I205" s="29"/>
      <c r="J205" s="30">
        <v>6003845</v>
      </c>
      <c r="K205" s="29"/>
      <c r="L205" s="29"/>
      <c r="M205" s="29"/>
      <c r="N205" s="30">
        <v>5212447</v>
      </c>
      <c r="O205" s="29"/>
      <c r="P205" s="29"/>
      <c r="Q205" s="29"/>
      <c r="R205" s="30">
        <v>5382538</v>
      </c>
      <c r="S205" s="29"/>
      <c r="T205" s="29"/>
      <c r="U205" s="29"/>
      <c r="V205" s="30">
        <v>6339933</v>
      </c>
      <c r="W205" s="29"/>
      <c r="X205" s="29"/>
      <c r="Y205" s="29"/>
      <c r="Z205" s="30">
        <v>5167387</v>
      </c>
      <c r="AA205" s="29"/>
      <c r="AB205" s="29"/>
      <c r="AC205" s="29"/>
      <c r="AD205" s="30">
        <v>5220701</v>
      </c>
      <c r="AE205" s="29"/>
      <c r="AF205" s="29"/>
      <c r="AG205" s="29"/>
      <c r="AH205" s="30">
        <v>4636721</v>
      </c>
      <c r="AI205" s="29"/>
      <c r="AJ205" s="29"/>
      <c r="AK205" s="29"/>
      <c r="AL205" s="30">
        <v>3968805</v>
      </c>
    </row>
    <row r="206" spans="1:38" x14ac:dyDescent="0.2">
      <c r="A206" s="13"/>
      <c r="B206" s="6"/>
      <c r="C206" s="22"/>
      <c r="D206" s="22"/>
      <c r="E206" s="22"/>
      <c r="F206" s="23"/>
      <c r="G206" s="22"/>
      <c r="H206" s="22"/>
      <c r="I206" s="22"/>
      <c r="J206" s="23"/>
      <c r="K206" s="22"/>
      <c r="L206" s="22"/>
      <c r="M206" s="22"/>
      <c r="N206" s="23"/>
      <c r="O206" s="22"/>
      <c r="P206" s="22"/>
      <c r="Q206" s="22"/>
      <c r="R206" s="23"/>
      <c r="S206" s="22"/>
      <c r="T206" s="22"/>
      <c r="U206" s="22"/>
      <c r="V206" s="23"/>
      <c r="W206" s="22"/>
      <c r="X206" s="22"/>
      <c r="Y206" s="22"/>
      <c r="Z206" s="23"/>
      <c r="AA206" s="22"/>
      <c r="AB206" s="22"/>
      <c r="AC206" s="22"/>
      <c r="AD206" s="23"/>
      <c r="AE206" s="22"/>
      <c r="AF206" s="22"/>
      <c r="AG206" s="22"/>
      <c r="AH206" s="23"/>
      <c r="AI206" s="22"/>
      <c r="AJ206" s="22"/>
      <c r="AK206" s="22"/>
      <c r="AL206" s="23"/>
    </row>
    <row r="207" spans="1:38" x14ac:dyDescent="0.2">
      <c r="A207" s="13"/>
      <c r="B207" s="6"/>
      <c r="C207" s="22"/>
      <c r="D207" s="22"/>
      <c r="E207" s="22"/>
      <c r="F207" s="23"/>
      <c r="G207" s="22"/>
      <c r="H207" s="22"/>
      <c r="I207" s="22"/>
      <c r="J207" s="23"/>
      <c r="K207" s="22"/>
      <c r="L207" s="22"/>
      <c r="M207" s="22"/>
      <c r="N207" s="23"/>
      <c r="O207" s="22"/>
      <c r="P207" s="22"/>
      <c r="Q207" s="22"/>
      <c r="R207" s="23"/>
      <c r="S207" s="22"/>
      <c r="T207" s="22"/>
      <c r="U207" s="22"/>
      <c r="V207" s="23"/>
      <c r="W207" s="22"/>
      <c r="X207" s="22"/>
      <c r="Y207" s="22"/>
      <c r="Z207" s="23"/>
      <c r="AA207" s="22"/>
      <c r="AB207" s="22"/>
      <c r="AC207" s="22"/>
      <c r="AD207" s="23"/>
      <c r="AE207" s="22"/>
      <c r="AF207" s="22"/>
      <c r="AG207" s="22"/>
      <c r="AH207" s="23"/>
      <c r="AI207" s="22"/>
      <c r="AJ207" s="22"/>
      <c r="AK207" s="22"/>
      <c r="AL207" s="23"/>
    </row>
    <row r="208" spans="1:38" x14ac:dyDescent="0.2">
      <c r="A208" s="13"/>
      <c r="B208" s="6"/>
      <c r="C208" s="22"/>
      <c r="D208" s="22"/>
      <c r="E208" s="22"/>
      <c r="F208" s="23"/>
      <c r="G208" s="22"/>
      <c r="H208" s="22"/>
      <c r="I208" s="22"/>
      <c r="J208" s="23"/>
      <c r="K208" s="22"/>
      <c r="L208" s="22"/>
      <c r="M208" s="22"/>
      <c r="N208" s="23"/>
      <c r="O208" s="22"/>
      <c r="P208" s="22"/>
      <c r="Q208" s="22"/>
      <c r="R208" s="23"/>
      <c r="S208" s="22"/>
      <c r="T208" s="22"/>
      <c r="U208" s="22"/>
      <c r="V208" s="23"/>
      <c r="W208" s="22"/>
      <c r="X208" s="22"/>
      <c r="Y208" s="22"/>
      <c r="Z208" s="23"/>
      <c r="AA208" s="22"/>
      <c r="AB208" s="22"/>
      <c r="AC208" s="22"/>
      <c r="AD208" s="23"/>
      <c r="AE208" s="22"/>
      <c r="AF208" s="22"/>
      <c r="AG208" s="22"/>
      <c r="AH208" s="23"/>
      <c r="AI208" s="22"/>
      <c r="AJ208" s="22"/>
      <c r="AK208" s="22"/>
      <c r="AL208" s="23"/>
    </row>
    <row r="209" spans="1:38" x14ac:dyDescent="0.2">
      <c r="A209" s="13"/>
      <c r="B209" s="6"/>
      <c r="C209" s="22"/>
      <c r="D209" s="22"/>
      <c r="E209" s="22"/>
      <c r="F209" s="23"/>
      <c r="G209" s="22"/>
      <c r="H209" s="22"/>
      <c r="I209" s="22"/>
      <c r="J209" s="23"/>
      <c r="K209" s="22"/>
      <c r="L209" s="22"/>
      <c r="M209" s="22"/>
      <c r="N209" s="23"/>
      <c r="O209" s="22"/>
      <c r="P209" s="22"/>
      <c r="Q209" s="22"/>
      <c r="R209" s="23"/>
      <c r="S209" s="22"/>
      <c r="T209" s="22"/>
      <c r="U209" s="22"/>
      <c r="V209" s="23"/>
      <c r="W209" s="22"/>
      <c r="X209" s="22"/>
      <c r="Y209" s="22"/>
      <c r="Z209" s="23"/>
      <c r="AA209" s="22"/>
      <c r="AB209" s="22"/>
      <c r="AC209" s="22"/>
      <c r="AD209" s="23"/>
      <c r="AE209" s="22"/>
      <c r="AF209" s="22"/>
      <c r="AG209" s="22"/>
      <c r="AH209" s="23"/>
      <c r="AI209" s="22"/>
      <c r="AJ209" s="22"/>
      <c r="AK209" s="22"/>
      <c r="AL209" s="23"/>
    </row>
    <row r="210" spans="1:38" x14ac:dyDescent="0.2">
      <c r="A210" s="13"/>
      <c r="B210" s="6"/>
      <c r="C210" s="22"/>
      <c r="D210" s="22"/>
      <c r="E210" s="22"/>
      <c r="F210" s="23"/>
      <c r="G210" s="22"/>
      <c r="H210" s="22"/>
      <c r="I210" s="22"/>
      <c r="J210" s="23"/>
      <c r="K210" s="22"/>
      <c r="L210" s="22"/>
      <c r="M210" s="22"/>
      <c r="N210" s="23"/>
      <c r="O210" s="22"/>
      <c r="P210" s="22"/>
      <c r="Q210" s="22"/>
      <c r="R210" s="23"/>
      <c r="S210" s="22"/>
      <c r="T210" s="22"/>
      <c r="U210" s="22"/>
      <c r="V210" s="23"/>
      <c r="W210" s="22"/>
      <c r="X210" s="22"/>
      <c r="Y210" s="22"/>
      <c r="Z210" s="23"/>
      <c r="AA210" s="22"/>
      <c r="AB210" s="22"/>
      <c r="AC210" s="22"/>
      <c r="AD210" s="23"/>
      <c r="AE210" s="22"/>
      <c r="AF210" s="22"/>
      <c r="AG210" s="22"/>
      <c r="AH210" s="23"/>
      <c r="AI210" s="22"/>
      <c r="AJ210" s="22"/>
      <c r="AK210" s="22"/>
      <c r="AL210" s="23"/>
    </row>
    <row r="211" spans="1:38" x14ac:dyDescent="0.2">
      <c r="A211" s="13"/>
      <c r="B211" s="6"/>
      <c r="C211" s="22"/>
      <c r="D211" s="22"/>
      <c r="E211" s="22"/>
      <c r="F211" s="23"/>
      <c r="G211" s="22"/>
      <c r="H211" s="22"/>
      <c r="I211" s="22"/>
      <c r="J211" s="23"/>
      <c r="K211" s="22"/>
      <c r="L211" s="22"/>
      <c r="M211" s="22"/>
      <c r="N211" s="23"/>
      <c r="O211" s="22"/>
      <c r="P211" s="22"/>
      <c r="Q211" s="22"/>
      <c r="R211" s="23"/>
      <c r="S211" s="22"/>
      <c r="T211" s="22"/>
      <c r="U211" s="22"/>
      <c r="V211" s="23"/>
      <c r="W211" s="22"/>
      <c r="X211" s="22"/>
      <c r="Y211" s="22"/>
      <c r="Z211" s="23"/>
      <c r="AA211" s="22"/>
      <c r="AB211" s="22"/>
      <c r="AC211" s="22"/>
      <c r="AD211" s="23"/>
      <c r="AE211" s="22"/>
      <c r="AF211" s="22"/>
      <c r="AG211" s="22"/>
      <c r="AH211" s="23"/>
      <c r="AI211" s="22"/>
      <c r="AJ211" s="22"/>
      <c r="AK211" s="22"/>
      <c r="AL211" s="23"/>
    </row>
    <row r="212" spans="1:38" x14ac:dyDescent="0.2">
      <c r="A212" s="18" t="s">
        <v>53</v>
      </c>
      <c r="B212" s="19" t="s">
        <v>39</v>
      </c>
      <c r="C212" s="29"/>
      <c r="D212" s="29"/>
      <c r="E212" s="29"/>
      <c r="F212" s="30">
        <v>59595204</v>
      </c>
      <c r="G212" s="29"/>
      <c r="H212" s="29"/>
      <c r="I212" s="29"/>
      <c r="J212" s="30">
        <v>57633509</v>
      </c>
      <c r="K212" s="29"/>
      <c r="L212" s="29"/>
      <c r="M212" s="29"/>
      <c r="N212" s="30">
        <v>55158256</v>
      </c>
      <c r="O212" s="29"/>
      <c r="P212" s="29"/>
      <c r="Q212" s="29"/>
      <c r="R212" s="30">
        <v>39886810</v>
      </c>
      <c r="S212" s="29"/>
      <c r="T212" s="29"/>
      <c r="U212" s="29"/>
      <c r="V212" s="30">
        <v>64681020</v>
      </c>
      <c r="W212" s="29"/>
      <c r="X212" s="29"/>
      <c r="Y212" s="29"/>
      <c r="Z212" s="30">
        <v>59741237</v>
      </c>
      <c r="AA212" s="29"/>
      <c r="AB212" s="29"/>
      <c r="AC212" s="29"/>
      <c r="AD212" s="30">
        <v>87328998</v>
      </c>
      <c r="AE212" s="29"/>
      <c r="AF212" s="29"/>
      <c r="AG212" s="29"/>
      <c r="AH212" s="30">
        <v>78698713</v>
      </c>
      <c r="AI212" s="29"/>
      <c r="AJ212" s="29"/>
      <c r="AK212" s="29"/>
      <c r="AL212" s="30">
        <v>103918576</v>
      </c>
    </row>
    <row r="213" spans="1:38" x14ac:dyDescent="0.2">
      <c r="A213" s="18" t="s">
        <v>54</v>
      </c>
      <c r="B213" s="19" t="s">
        <v>39</v>
      </c>
      <c r="C213" s="29"/>
      <c r="D213" s="29"/>
      <c r="E213" s="29"/>
      <c r="F213" s="30">
        <v>11086927</v>
      </c>
      <c r="G213" s="29"/>
      <c r="H213" s="29"/>
      <c r="I213" s="29"/>
      <c r="J213" s="30">
        <v>12317853</v>
      </c>
      <c r="K213" s="29"/>
      <c r="L213" s="29"/>
      <c r="M213" s="29"/>
      <c r="N213" s="30">
        <v>17033842</v>
      </c>
      <c r="O213" s="29"/>
      <c r="P213" s="29"/>
      <c r="Q213" s="29"/>
      <c r="R213" s="30">
        <v>10730002</v>
      </c>
      <c r="S213" s="29"/>
      <c r="T213" s="29"/>
      <c r="U213" s="29"/>
      <c r="V213" s="30">
        <v>12620220</v>
      </c>
      <c r="W213" s="29"/>
      <c r="X213" s="29"/>
      <c r="Y213" s="29"/>
      <c r="Z213" s="30">
        <v>13014840</v>
      </c>
      <c r="AA213" s="29"/>
      <c r="AB213" s="29"/>
      <c r="AC213" s="29"/>
      <c r="AD213" s="30">
        <v>13860106</v>
      </c>
      <c r="AE213" s="29"/>
      <c r="AF213" s="29"/>
      <c r="AG213" s="29"/>
      <c r="AH213" s="30">
        <v>15448136</v>
      </c>
      <c r="AI213" s="29"/>
      <c r="AJ213" s="29"/>
      <c r="AK213" s="29"/>
      <c r="AL213" s="30">
        <v>14688695</v>
      </c>
    </row>
    <row r="214" spans="1:38" x14ac:dyDescent="0.2">
      <c r="A214" s="18" t="s">
        <v>55</v>
      </c>
      <c r="B214" s="19" t="s">
        <v>39</v>
      </c>
      <c r="C214" s="29"/>
      <c r="D214" s="29"/>
      <c r="E214" s="29"/>
      <c r="F214" s="30">
        <v>3932793</v>
      </c>
      <c r="G214" s="29"/>
      <c r="H214" s="29"/>
      <c r="I214" s="29"/>
      <c r="J214" s="30">
        <v>4731289</v>
      </c>
      <c r="K214" s="29"/>
      <c r="L214" s="29"/>
      <c r="M214" s="29"/>
      <c r="N214" s="30">
        <v>4934083</v>
      </c>
      <c r="O214" s="29"/>
      <c r="P214" s="29"/>
      <c r="Q214" s="29"/>
      <c r="R214" s="30">
        <v>5244630</v>
      </c>
      <c r="S214" s="29"/>
      <c r="T214" s="29"/>
      <c r="U214" s="29"/>
      <c r="V214" s="30">
        <v>5426989</v>
      </c>
      <c r="W214" s="29"/>
      <c r="X214" s="29"/>
      <c r="Y214" s="29"/>
      <c r="Z214" s="30">
        <v>6049534</v>
      </c>
      <c r="AA214" s="29"/>
      <c r="AB214" s="29"/>
      <c r="AC214" s="29"/>
      <c r="AD214" s="30">
        <v>8892968</v>
      </c>
      <c r="AE214" s="29"/>
      <c r="AF214" s="29"/>
      <c r="AG214" s="29"/>
      <c r="AH214" s="30">
        <v>10578448</v>
      </c>
      <c r="AI214" s="29"/>
      <c r="AJ214" s="29"/>
      <c r="AK214" s="29"/>
      <c r="AL214" s="30">
        <v>10689599</v>
      </c>
    </row>
    <row r="215" spans="1:38" x14ac:dyDescent="0.2">
      <c r="A215" s="18" t="s">
        <v>56</v>
      </c>
      <c r="B215" s="19" t="s">
        <v>39</v>
      </c>
      <c r="C215" s="29"/>
      <c r="D215" s="29"/>
      <c r="E215" s="29"/>
      <c r="F215" s="30">
        <v>423567</v>
      </c>
      <c r="G215" s="29"/>
      <c r="H215" s="29"/>
      <c r="I215" s="29"/>
      <c r="J215" s="30">
        <v>729707</v>
      </c>
      <c r="K215" s="29"/>
      <c r="L215" s="29"/>
      <c r="M215" s="29"/>
      <c r="N215" s="30">
        <v>440595</v>
      </c>
      <c r="O215" s="29"/>
      <c r="P215" s="29"/>
      <c r="Q215" s="29"/>
      <c r="R215" s="30">
        <v>409601</v>
      </c>
      <c r="S215" s="29"/>
      <c r="T215" s="29"/>
      <c r="U215" s="29"/>
      <c r="V215" s="30">
        <v>548029</v>
      </c>
      <c r="W215" s="29"/>
      <c r="X215" s="29"/>
      <c r="Y215" s="29"/>
      <c r="Z215" s="30">
        <v>904109</v>
      </c>
      <c r="AA215" s="29"/>
      <c r="AB215" s="29"/>
      <c r="AC215" s="29"/>
      <c r="AD215" s="30">
        <v>1048191</v>
      </c>
      <c r="AE215" s="29"/>
      <c r="AF215" s="29"/>
      <c r="AG215" s="29"/>
      <c r="AH215" s="30">
        <v>1550643</v>
      </c>
      <c r="AI215" s="29"/>
      <c r="AJ215" s="29"/>
      <c r="AK215" s="29"/>
      <c r="AL215" s="30">
        <v>1801528</v>
      </c>
    </row>
    <row r="216" spans="1:38" x14ac:dyDescent="0.2">
      <c r="A216" s="18" t="s">
        <v>57</v>
      </c>
      <c r="B216" s="19" t="s">
        <v>39</v>
      </c>
      <c r="C216" s="29"/>
      <c r="D216" s="29"/>
      <c r="E216" s="29"/>
      <c r="F216" s="30">
        <v>38296978</v>
      </c>
      <c r="G216" s="29"/>
      <c r="H216" s="29"/>
      <c r="I216" s="29"/>
      <c r="J216" s="30">
        <v>45662023</v>
      </c>
      <c r="K216" s="29"/>
      <c r="L216" s="29"/>
      <c r="M216" s="29"/>
      <c r="N216" s="30">
        <v>48790230</v>
      </c>
      <c r="O216" s="29"/>
      <c r="P216" s="29"/>
      <c r="Q216" s="29"/>
      <c r="R216" s="30">
        <v>43219929</v>
      </c>
      <c r="S216" s="29"/>
      <c r="T216" s="29"/>
      <c r="U216" s="29"/>
      <c r="V216" s="30">
        <v>55334418</v>
      </c>
      <c r="W216" s="29"/>
      <c r="X216" s="29"/>
      <c r="Y216" s="29"/>
      <c r="Z216" s="30">
        <v>50976424</v>
      </c>
      <c r="AA216" s="29"/>
      <c r="AB216" s="29"/>
      <c r="AC216" s="29"/>
      <c r="AD216" s="30">
        <v>61511189</v>
      </c>
      <c r="AE216" s="29"/>
      <c r="AF216" s="29"/>
      <c r="AG216" s="29"/>
      <c r="AH216" s="30">
        <v>62552963</v>
      </c>
      <c r="AI216" s="29"/>
      <c r="AJ216" s="29"/>
      <c r="AK216" s="29"/>
      <c r="AL216" s="30">
        <v>94105982</v>
      </c>
    </row>
    <row r="217" spans="1:38" x14ac:dyDescent="0.2">
      <c r="A217" s="18" t="s">
        <v>58</v>
      </c>
      <c r="B217" s="19" t="s">
        <v>39</v>
      </c>
      <c r="C217" s="29"/>
      <c r="D217" s="29"/>
      <c r="E217" s="29"/>
      <c r="F217" s="30">
        <v>38164033</v>
      </c>
      <c r="G217" s="29"/>
      <c r="H217" s="29"/>
      <c r="I217" s="29"/>
      <c r="J217" s="30">
        <v>39704379</v>
      </c>
      <c r="K217" s="29"/>
      <c r="L217" s="29"/>
      <c r="M217" s="29"/>
      <c r="N217" s="30">
        <v>39691288</v>
      </c>
      <c r="O217" s="29"/>
      <c r="P217" s="29"/>
      <c r="Q217" s="29"/>
      <c r="R217" s="30">
        <v>39659499</v>
      </c>
      <c r="S217" s="29"/>
      <c r="T217" s="29"/>
      <c r="U217" s="29"/>
      <c r="V217" s="30">
        <v>39923837</v>
      </c>
      <c r="W217" s="29"/>
      <c r="X217" s="29"/>
      <c r="Y217" s="29"/>
      <c r="Z217" s="30">
        <v>40131233</v>
      </c>
      <c r="AA217" s="29"/>
      <c r="AB217" s="29"/>
      <c r="AC217" s="29"/>
      <c r="AD217" s="30">
        <v>41315586</v>
      </c>
      <c r="AE217" s="29"/>
      <c r="AF217" s="29"/>
      <c r="AG217" s="29"/>
      <c r="AH217" s="30">
        <v>44506337</v>
      </c>
      <c r="AI217" s="29"/>
      <c r="AJ217" s="29"/>
      <c r="AK217" s="29"/>
      <c r="AL217" s="30">
        <v>54435536</v>
      </c>
    </row>
    <row r="218" spans="1:38" x14ac:dyDescent="0.2">
      <c r="A218" s="18" t="s">
        <v>59</v>
      </c>
      <c r="B218" s="19" t="s">
        <v>39</v>
      </c>
      <c r="C218" s="29"/>
      <c r="D218" s="29"/>
      <c r="E218" s="29"/>
      <c r="F218" s="30">
        <v>37075344</v>
      </c>
      <c r="G218" s="29"/>
      <c r="H218" s="29"/>
      <c r="I218" s="29"/>
      <c r="J218" s="30">
        <v>35773717</v>
      </c>
      <c r="K218" s="29"/>
      <c r="L218" s="29"/>
      <c r="M218" s="29"/>
      <c r="N218" s="30">
        <v>36849018</v>
      </c>
      <c r="O218" s="29"/>
      <c r="P218" s="29"/>
      <c r="Q218" s="29"/>
      <c r="R218" s="30">
        <v>30571781</v>
      </c>
      <c r="S218" s="29"/>
      <c r="T218" s="29"/>
      <c r="U218" s="29"/>
      <c r="V218" s="30">
        <v>57365344</v>
      </c>
      <c r="W218" s="29"/>
      <c r="X218" s="29"/>
      <c r="Y218" s="29"/>
      <c r="Z218" s="30">
        <v>65326529</v>
      </c>
      <c r="AA218" s="29"/>
      <c r="AB218" s="29"/>
      <c r="AC218" s="29"/>
      <c r="AD218" s="30">
        <v>81731244</v>
      </c>
      <c r="AE218" s="29"/>
      <c r="AF218" s="29"/>
      <c r="AG218" s="29"/>
      <c r="AH218" s="30">
        <v>80597141</v>
      </c>
      <c r="AI218" s="29"/>
      <c r="AJ218" s="29"/>
      <c r="AK218" s="29"/>
      <c r="AL218" s="30">
        <v>111870261</v>
      </c>
    </row>
    <row r="221" spans="1:38" x14ac:dyDescent="0.2">
      <c r="A221" s="9" t="s">
        <v>97</v>
      </c>
      <c r="B221" s="10" t="s">
        <v>39</v>
      </c>
      <c r="C221" s="27"/>
      <c r="D221" s="27"/>
      <c r="E221" s="27"/>
      <c r="F221" s="27">
        <v>19178665</v>
      </c>
      <c r="G221" s="27"/>
      <c r="H221" s="27"/>
      <c r="I221" s="27"/>
      <c r="J221" s="28">
        <v>38894822</v>
      </c>
      <c r="K221" s="27"/>
      <c r="L221" s="27"/>
      <c r="M221" s="27"/>
      <c r="N221" s="28">
        <v>44144132</v>
      </c>
      <c r="O221" s="27"/>
      <c r="P221" s="27"/>
      <c r="Q221" s="27"/>
      <c r="R221" s="28">
        <v>47980096</v>
      </c>
      <c r="S221" s="27"/>
      <c r="T221" s="27"/>
      <c r="U221" s="27"/>
      <c r="V221" s="28">
        <v>53065846</v>
      </c>
      <c r="W221" s="27"/>
      <c r="X221" s="27"/>
      <c r="Y221" s="27"/>
      <c r="Z221" s="28">
        <v>54027027</v>
      </c>
      <c r="AA221" s="27"/>
      <c r="AB221" s="27"/>
      <c r="AC221" s="27"/>
      <c r="AD221" s="28">
        <v>51993932</v>
      </c>
      <c r="AE221" s="27"/>
      <c r="AF221" s="27"/>
      <c r="AG221" s="27"/>
      <c r="AH221" s="28">
        <v>55797925</v>
      </c>
      <c r="AI221" s="27"/>
      <c r="AJ221" s="27"/>
      <c r="AK221" s="27"/>
      <c r="AL221" s="28">
        <v>66651781</v>
      </c>
    </row>
    <row r="222" spans="1:38" x14ac:dyDescent="0.2">
      <c r="A222" s="18" t="s">
        <v>98</v>
      </c>
      <c r="B222" s="19" t="s">
        <v>39</v>
      </c>
      <c r="C222" s="29"/>
      <c r="D222" s="29"/>
      <c r="E222" s="29"/>
      <c r="F222" s="30">
        <v>654304</v>
      </c>
      <c r="G222" s="29"/>
      <c r="H222" s="29"/>
      <c r="I222" s="29"/>
      <c r="J222" s="30">
        <v>765007</v>
      </c>
      <c r="K222" s="29"/>
      <c r="L222" s="29"/>
      <c r="M222" s="29"/>
      <c r="N222" s="30">
        <v>847936</v>
      </c>
      <c r="O222" s="29"/>
      <c r="P222" s="29"/>
      <c r="Q222" s="29"/>
      <c r="R222" s="30">
        <v>1112356</v>
      </c>
      <c r="S222" s="29"/>
      <c r="T222" s="29"/>
      <c r="U222" s="29"/>
      <c r="V222" s="30">
        <v>1865884</v>
      </c>
      <c r="W222" s="29"/>
      <c r="X222" s="29"/>
      <c r="Y222" s="29"/>
      <c r="Z222" s="30">
        <v>1754912</v>
      </c>
      <c r="AA222" s="29"/>
      <c r="AB222" s="29"/>
      <c r="AC222" s="29"/>
      <c r="AD222" s="30">
        <v>1827921</v>
      </c>
      <c r="AE222" s="29"/>
      <c r="AF222" s="29"/>
      <c r="AG222" s="29"/>
      <c r="AH222" s="30">
        <v>3298677</v>
      </c>
      <c r="AI222" s="29"/>
      <c r="AJ222" s="29"/>
      <c r="AK222" s="29"/>
      <c r="AL222" s="30">
        <v>2506373</v>
      </c>
    </row>
    <row r="223" spans="1:38" x14ac:dyDescent="0.2">
      <c r="A223" s="13"/>
      <c r="B223" s="6"/>
      <c r="C223" s="22"/>
      <c r="D223" s="22"/>
      <c r="E223" s="22"/>
      <c r="F223" s="23"/>
      <c r="G223" s="22"/>
      <c r="H223" s="22"/>
      <c r="I223" s="22"/>
      <c r="J223" s="23"/>
      <c r="K223" s="22"/>
      <c r="L223" s="22"/>
      <c r="M223" s="22"/>
      <c r="N223" s="23"/>
      <c r="O223" s="22"/>
      <c r="P223" s="22"/>
      <c r="Q223" s="22"/>
      <c r="R223" s="23"/>
      <c r="S223" s="22"/>
      <c r="T223" s="22"/>
      <c r="U223" s="22"/>
      <c r="V223" s="23"/>
      <c r="W223" s="22"/>
      <c r="X223" s="22"/>
      <c r="Y223" s="22"/>
      <c r="Z223" s="23"/>
      <c r="AA223" s="22"/>
      <c r="AB223" s="22"/>
      <c r="AC223" s="22"/>
      <c r="AD223" s="23"/>
      <c r="AE223" s="22"/>
      <c r="AF223" s="22"/>
      <c r="AG223" s="22"/>
      <c r="AH223" s="23"/>
      <c r="AI223" s="22"/>
      <c r="AJ223" s="22"/>
      <c r="AK223" s="22"/>
      <c r="AL223" s="23"/>
    </row>
    <row r="224" spans="1:38" x14ac:dyDescent="0.2">
      <c r="A224" s="13"/>
      <c r="B224" s="6"/>
      <c r="C224" s="22"/>
      <c r="D224" s="22"/>
      <c r="E224" s="22"/>
      <c r="F224" s="23"/>
      <c r="G224" s="22"/>
      <c r="H224" s="22"/>
      <c r="I224" s="22"/>
      <c r="J224" s="23"/>
      <c r="K224" s="22"/>
      <c r="L224" s="22"/>
      <c r="M224" s="22"/>
      <c r="N224" s="23"/>
      <c r="O224" s="22"/>
      <c r="P224" s="22"/>
      <c r="Q224" s="22"/>
      <c r="R224" s="23"/>
      <c r="S224" s="22"/>
      <c r="T224" s="22"/>
      <c r="U224" s="22"/>
      <c r="V224" s="23"/>
      <c r="W224" s="22"/>
      <c r="X224" s="22"/>
      <c r="Y224" s="22"/>
      <c r="Z224" s="23"/>
      <c r="AA224" s="22"/>
      <c r="AB224" s="22"/>
      <c r="AC224" s="22"/>
      <c r="AD224" s="23"/>
      <c r="AE224" s="22"/>
      <c r="AF224" s="22"/>
      <c r="AG224" s="22"/>
      <c r="AH224" s="23"/>
      <c r="AI224" s="22"/>
      <c r="AJ224" s="22"/>
      <c r="AK224" s="22"/>
      <c r="AL224" s="23"/>
    </row>
    <row r="225" spans="1:38" x14ac:dyDescent="0.2">
      <c r="A225" s="13"/>
      <c r="B225" s="6"/>
      <c r="C225" s="22"/>
      <c r="D225" s="22"/>
      <c r="E225" s="22"/>
      <c r="F225" s="23"/>
      <c r="G225" s="22"/>
      <c r="H225" s="22"/>
      <c r="I225" s="22"/>
      <c r="J225" s="23"/>
      <c r="K225" s="22"/>
      <c r="L225" s="22"/>
      <c r="M225" s="22"/>
      <c r="N225" s="23"/>
      <c r="O225" s="22"/>
      <c r="P225" s="22"/>
      <c r="Q225" s="22"/>
      <c r="R225" s="23"/>
      <c r="S225" s="22"/>
      <c r="T225" s="22"/>
      <c r="U225" s="22"/>
      <c r="V225" s="23"/>
      <c r="W225" s="22"/>
      <c r="X225" s="22"/>
      <c r="Y225" s="22"/>
      <c r="Z225" s="23"/>
      <c r="AA225" s="22"/>
      <c r="AB225" s="22"/>
      <c r="AC225" s="22"/>
      <c r="AD225" s="23"/>
      <c r="AE225" s="22"/>
      <c r="AF225" s="22"/>
      <c r="AG225" s="22"/>
      <c r="AH225" s="23"/>
      <c r="AI225" s="22"/>
      <c r="AJ225" s="22"/>
      <c r="AK225" s="22"/>
      <c r="AL225" s="23"/>
    </row>
    <row r="226" spans="1:38" x14ac:dyDescent="0.2">
      <c r="A226" s="13"/>
      <c r="B226" s="6"/>
      <c r="C226" s="22"/>
      <c r="D226" s="22"/>
      <c r="E226" s="22"/>
      <c r="F226" s="23"/>
      <c r="G226" s="22"/>
      <c r="H226" s="22"/>
      <c r="I226" s="22"/>
      <c r="J226" s="23"/>
      <c r="K226" s="22"/>
      <c r="L226" s="22"/>
      <c r="M226" s="22"/>
      <c r="N226" s="23"/>
      <c r="O226" s="22"/>
      <c r="P226" s="22"/>
      <c r="Q226" s="22"/>
      <c r="R226" s="23"/>
      <c r="S226" s="22"/>
      <c r="T226" s="22"/>
      <c r="U226" s="22"/>
      <c r="V226" s="23"/>
      <c r="W226" s="22"/>
      <c r="X226" s="22"/>
      <c r="Y226" s="22"/>
      <c r="Z226" s="23"/>
      <c r="AA226" s="22"/>
      <c r="AB226" s="22"/>
      <c r="AC226" s="22"/>
      <c r="AD226" s="23"/>
      <c r="AE226" s="22"/>
      <c r="AF226" s="22"/>
      <c r="AG226" s="22"/>
      <c r="AH226" s="23"/>
      <c r="AI226" s="22"/>
      <c r="AJ226" s="22"/>
      <c r="AK226" s="22"/>
      <c r="AL226" s="23"/>
    </row>
    <row r="227" spans="1:38" x14ac:dyDescent="0.2">
      <c r="A227" s="13"/>
      <c r="B227" s="6"/>
      <c r="C227" s="22"/>
      <c r="D227" s="22"/>
      <c r="E227" s="22"/>
      <c r="F227" s="23"/>
      <c r="G227" s="22"/>
      <c r="H227" s="22"/>
      <c r="I227" s="22"/>
      <c r="J227" s="23"/>
      <c r="K227" s="22"/>
      <c r="L227" s="22"/>
      <c r="M227" s="22"/>
      <c r="N227" s="23"/>
      <c r="O227" s="22"/>
      <c r="P227" s="22"/>
      <c r="Q227" s="22"/>
      <c r="R227" s="23"/>
      <c r="S227" s="22"/>
      <c r="T227" s="22"/>
      <c r="U227" s="22"/>
      <c r="V227" s="23"/>
      <c r="W227" s="22"/>
      <c r="X227" s="22"/>
      <c r="Y227" s="22"/>
      <c r="Z227" s="23"/>
      <c r="AA227" s="22"/>
      <c r="AB227" s="22"/>
      <c r="AC227" s="22"/>
      <c r="AD227" s="23"/>
      <c r="AE227" s="22"/>
      <c r="AF227" s="22"/>
      <c r="AG227" s="22"/>
      <c r="AH227" s="23"/>
      <c r="AI227" s="22"/>
      <c r="AJ227" s="22"/>
      <c r="AK227" s="22"/>
      <c r="AL227" s="23"/>
    </row>
    <row r="228" spans="1:38" x14ac:dyDescent="0.2">
      <c r="A228" s="13"/>
      <c r="B228" s="6"/>
      <c r="C228" s="22"/>
      <c r="D228" s="22"/>
      <c r="E228" s="22"/>
      <c r="F228" s="23"/>
      <c r="G228" s="22"/>
      <c r="H228" s="22"/>
      <c r="I228" s="22"/>
      <c r="J228" s="23"/>
      <c r="K228" s="22"/>
      <c r="L228" s="22"/>
      <c r="M228" s="22"/>
      <c r="N228" s="23"/>
      <c r="O228" s="22"/>
      <c r="P228" s="22"/>
      <c r="Q228" s="22"/>
      <c r="R228" s="23"/>
      <c r="S228" s="22"/>
      <c r="T228" s="22"/>
      <c r="U228" s="22"/>
      <c r="V228" s="23"/>
      <c r="W228" s="22"/>
      <c r="X228" s="22"/>
      <c r="Y228" s="22"/>
      <c r="Z228" s="23"/>
      <c r="AA228" s="22"/>
      <c r="AB228" s="22"/>
      <c r="AC228" s="22"/>
      <c r="AD228" s="23"/>
      <c r="AE228" s="22"/>
      <c r="AF228" s="22"/>
      <c r="AG228" s="22"/>
      <c r="AH228" s="23"/>
      <c r="AI228" s="22"/>
      <c r="AJ228" s="22"/>
      <c r="AK228" s="22"/>
      <c r="AL228" s="23"/>
    </row>
    <row r="229" spans="1:38" x14ac:dyDescent="0.2">
      <c r="A229" s="18" t="s">
        <v>100</v>
      </c>
      <c r="B229" s="19" t="s">
        <v>39</v>
      </c>
      <c r="C229" s="29"/>
      <c r="D229" s="29"/>
      <c r="E229" s="29"/>
      <c r="F229" s="30">
        <v>385891</v>
      </c>
      <c r="G229" s="29"/>
      <c r="H229" s="29"/>
      <c r="I229" s="29"/>
      <c r="J229" s="30">
        <v>452048</v>
      </c>
      <c r="K229" s="29"/>
      <c r="L229" s="29"/>
      <c r="M229" s="29"/>
      <c r="N229" s="30">
        <v>335214</v>
      </c>
      <c r="O229" s="29"/>
      <c r="P229" s="29"/>
      <c r="Q229" s="29"/>
      <c r="R229" s="30">
        <v>301180</v>
      </c>
      <c r="S229" s="29"/>
      <c r="T229" s="29"/>
      <c r="U229" s="29"/>
      <c r="V229" s="30">
        <v>344284</v>
      </c>
      <c r="W229" s="29"/>
      <c r="X229" s="29"/>
      <c r="Y229" s="29"/>
      <c r="Z229" s="30">
        <v>380461</v>
      </c>
      <c r="AA229" s="29"/>
      <c r="AB229" s="29"/>
      <c r="AC229" s="29"/>
      <c r="AD229" s="30">
        <v>372927</v>
      </c>
      <c r="AE229" s="29"/>
      <c r="AF229" s="29"/>
      <c r="AG229" s="29"/>
      <c r="AH229" s="30">
        <v>392890</v>
      </c>
      <c r="AI229" s="29"/>
      <c r="AJ229" s="29"/>
      <c r="AK229" s="29"/>
      <c r="AL229" s="30">
        <v>411499</v>
      </c>
    </row>
    <row r="230" spans="1:38" x14ac:dyDescent="0.2">
      <c r="A230" s="18" t="s">
        <v>101</v>
      </c>
      <c r="B230" s="19" t="s">
        <v>39</v>
      </c>
      <c r="C230" s="29"/>
      <c r="D230" s="29"/>
      <c r="E230" s="29"/>
      <c r="F230" s="30">
        <v>13739975</v>
      </c>
      <c r="G230" s="29"/>
      <c r="H230" s="29"/>
      <c r="I230" s="29"/>
      <c r="J230" s="30">
        <v>33934278</v>
      </c>
      <c r="K230" s="29"/>
      <c r="L230" s="29"/>
      <c r="M230" s="29"/>
      <c r="N230" s="30">
        <v>39245088</v>
      </c>
      <c r="O230" s="29"/>
      <c r="P230" s="29"/>
      <c r="Q230" s="29"/>
      <c r="R230" s="30">
        <v>43091647</v>
      </c>
      <c r="S230" s="29"/>
      <c r="T230" s="29"/>
      <c r="U230" s="29"/>
      <c r="V230" s="30">
        <v>47084420</v>
      </c>
      <c r="W230" s="29"/>
      <c r="X230" s="29"/>
      <c r="Y230" s="29"/>
      <c r="Z230" s="30">
        <v>48063573</v>
      </c>
      <c r="AA230" s="29"/>
      <c r="AB230" s="29"/>
      <c r="AC230" s="29"/>
      <c r="AD230" s="30">
        <v>46332690</v>
      </c>
      <c r="AE230" s="29"/>
      <c r="AF230" s="29"/>
      <c r="AG230" s="29"/>
      <c r="AH230" s="30">
        <v>48246700</v>
      </c>
      <c r="AI230" s="29"/>
      <c r="AJ230" s="29"/>
      <c r="AK230" s="29"/>
      <c r="AL230" s="30">
        <v>59669726</v>
      </c>
    </row>
    <row r="231" spans="1:38" x14ac:dyDescent="0.2">
      <c r="A231" s="18" t="s">
        <v>102</v>
      </c>
      <c r="B231" s="19" t="s">
        <v>39</v>
      </c>
      <c r="C231" s="29"/>
      <c r="D231" s="29"/>
      <c r="E231" s="29"/>
      <c r="F231" s="30">
        <v>976432</v>
      </c>
      <c r="G231" s="29"/>
      <c r="H231" s="29"/>
      <c r="I231" s="29"/>
      <c r="J231" s="30">
        <v>907291</v>
      </c>
      <c r="K231" s="29"/>
      <c r="L231" s="29"/>
      <c r="M231" s="29"/>
      <c r="N231" s="30">
        <v>945442</v>
      </c>
      <c r="O231" s="29"/>
      <c r="P231" s="29"/>
      <c r="Q231" s="29"/>
      <c r="R231" s="30">
        <v>897968</v>
      </c>
      <c r="S231" s="29"/>
      <c r="T231" s="29"/>
      <c r="U231" s="29"/>
      <c r="V231" s="30">
        <v>948016</v>
      </c>
      <c r="W231" s="29"/>
      <c r="X231" s="29"/>
      <c r="Y231" s="29"/>
      <c r="Z231" s="30">
        <v>947827</v>
      </c>
      <c r="AA231" s="29"/>
      <c r="AB231" s="29"/>
      <c r="AC231" s="29"/>
      <c r="AD231" s="30">
        <v>810872</v>
      </c>
      <c r="AE231" s="29"/>
      <c r="AF231" s="29"/>
      <c r="AG231" s="29"/>
      <c r="AH231" s="30">
        <v>872847</v>
      </c>
      <c r="AI231" s="29"/>
      <c r="AJ231" s="29"/>
      <c r="AK231" s="29"/>
      <c r="AL231" s="30">
        <v>1041468</v>
      </c>
    </row>
    <row r="232" spans="1:38" x14ac:dyDescent="0.2">
      <c r="A232" s="18" t="s">
        <v>56</v>
      </c>
      <c r="B232" s="19" t="s">
        <v>39</v>
      </c>
      <c r="C232" s="29"/>
      <c r="D232" s="29"/>
      <c r="E232" s="29"/>
      <c r="F232" s="30">
        <v>19502</v>
      </c>
      <c r="G232" s="29"/>
      <c r="H232" s="29"/>
      <c r="I232" s="29"/>
      <c r="J232" s="30">
        <v>18078</v>
      </c>
      <c r="K232" s="29"/>
      <c r="L232" s="29"/>
      <c r="M232" s="29"/>
      <c r="N232" s="30">
        <v>13684</v>
      </c>
      <c r="O232" s="29"/>
      <c r="P232" s="29"/>
      <c r="Q232" s="29"/>
      <c r="R232" s="30">
        <v>13895</v>
      </c>
      <c r="S232" s="29"/>
      <c r="T232" s="29"/>
      <c r="U232" s="29"/>
      <c r="V232" s="30">
        <v>15276</v>
      </c>
      <c r="W232" s="29"/>
      <c r="X232" s="29"/>
      <c r="Y232" s="29"/>
      <c r="Z232" s="30">
        <v>16432</v>
      </c>
      <c r="AA232" s="29"/>
      <c r="AB232" s="29"/>
      <c r="AC232" s="29"/>
      <c r="AD232" s="30">
        <v>16275</v>
      </c>
      <c r="AE232" s="29"/>
      <c r="AF232" s="29"/>
      <c r="AG232" s="29"/>
      <c r="AH232" s="30">
        <v>22585</v>
      </c>
      <c r="AI232" s="29"/>
      <c r="AJ232" s="29"/>
      <c r="AK232" s="29"/>
      <c r="AL232" s="30">
        <v>23145</v>
      </c>
    </row>
    <row r="233" spans="1:38" x14ac:dyDescent="0.2">
      <c r="A233" s="18" t="s">
        <v>57</v>
      </c>
      <c r="B233" s="19" t="s">
        <v>39</v>
      </c>
      <c r="C233" s="29"/>
      <c r="D233" s="29"/>
      <c r="E233" s="29"/>
      <c r="F233" s="30">
        <v>209692</v>
      </c>
      <c r="G233" s="29"/>
      <c r="H233" s="29"/>
      <c r="I233" s="29"/>
      <c r="J233" s="30">
        <v>210930</v>
      </c>
      <c r="K233" s="29"/>
      <c r="L233" s="29"/>
      <c r="M233" s="29"/>
      <c r="N233" s="30">
        <v>173300</v>
      </c>
      <c r="O233" s="29"/>
      <c r="P233" s="29"/>
      <c r="Q233" s="29"/>
      <c r="R233" s="30">
        <v>187638</v>
      </c>
      <c r="S233" s="29"/>
      <c r="T233" s="29"/>
      <c r="U233" s="29"/>
      <c r="V233" s="30">
        <v>188432</v>
      </c>
      <c r="W233" s="29"/>
      <c r="X233" s="29"/>
      <c r="Y233" s="29"/>
      <c r="Z233" s="30">
        <v>236925</v>
      </c>
      <c r="AA233" s="29"/>
      <c r="AB233" s="29"/>
      <c r="AC233" s="29"/>
      <c r="AD233" s="30">
        <v>201779</v>
      </c>
      <c r="AE233" s="29"/>
      <c r="AF233" s="29"/>
      <c r="AG233" s="29"/>
      <c r="AH233" s="30">
        <v>274675</v>
      </c>
      <c r="AI233" s="29"/>
      <c r="AJ233" s="29"/>
      <c r="AK233" s="29"/>
      <c r="AL233" s="30">
        <v>228783</v>
      </c>
    </row>
    <row r="234" spans="1:38" x14ac:dyDescent="0.2">
      <c r="A234" s="18" t="s">
        <v>103</v>
      </c>
      <c r="B234" s="19" t="s">
        <v>39</v>
      </c>
      <c r="C234" s="29"/>
      <c r="D234" s="29"/>
      <c r="E234" s="29"/>
      <c r="F234" s="30">
        <v>2949025</v>
      </c>
      <c r="G234" s="29"/>
      <c r="H234" s="29"/>
      <c r="I234" s="29"/>
      <c r="J234" s="30">
        <v>2369375</v>
      </c>
      <c r="K234" s="29"/>
      <c r="L234" s="29"/>
      <c r="M234" s="29"/>
      <c r="N234" s="30">
        <v>2293388</v>
      </c>
      <c r="O234" s="29"/>
      <c r="P234" s="29"/>
      <c r="Q234" s="29"/>
      <c r="R234" s="30">
        <v>2070686</v>
      </c>
      <c r="S234" s="29"/>
      <c r="T234" s="29"/>
      <c r="U234" s="29"/>
      <c r="V234" s="30">
        <v>2151231</v>
      </c>
      <c r="W234" s="29"/>
      <c r="X234" s="29"/>
      <c r="Y234" s="29"/>
      <c r="Z234" s="30">
        <v>2283943</v>
      </c>
      <c r="AA234" s="29"/>
      <c r="AB234" s="29"/>
      <c r="AC234" s="29"/>
      <c r="AD234" s="30">
        <v>2047108</v>
      </c>
      <c r="AE234" s="29"/>
      <c r="AF234" s="29"/>
      <c r="AG234" s="29"/>
      <c r="AH234" s="30">
        <v>2216610</v>
      </c>
      <c r="AI234" s="29"/>
      <c r="AJ234" s="29"/>
      <c r="AK234" s="29"/>
      <c r="AL234" s="30">
        <v>2086076</v>
      </c>
    </row>
    <row r="235" spans="1:38" x14ac:dyDescent="0.2">
      <c r="A235" s="18" t="s">
        <v>59</v>
      </c>
      <c r="B235" s="19" t="s">
        <v>39</v>
      </c>
      <c r="C235" s="29"/>
      <c r="D235" s="29"/>
      <c r="E235" s="29"/>
      <c r="F235" s="30">
        <v>243844</v>
      </c>
      <c r="G235" s="29"/>
      <c r="H235" s="29"/>
      <c r="I235" s="29"/>
      <c r="J235" s="30">
        <v>237815</v>
      </c>
      <c r="K235" s="29"/>
      <c r="L235" s="29"/>
      <c r="M235" s="29"/>
      <c r="N235" s="30">
        <v>290080</v>
      </c>
      <c r="O235" s="29"/>
      <c r="P235" s="29"/>
      <c r="Q235" s="29"/>
      <c r="R235" s="30">
        <v>304726</v>
      </c>
      <c r="S235" s="29"/>
      <c r="T235" s="29"/>
      <c r="U235" s="29"/>
      <c r="V235" s="30">
        <v>468303</v>
      </c>
      <c r="W235" s="29"/>
      <c r="X235" s="29"/>
      <c r="Y235" s="29"/>
      <c r="Z235" s="30">
        <v>342954</v>
      </c>
      <c r="AA235" s="29"/>
      <c r="AB235" s="29"/>
      <c r="AC235" s="29"/>
      <c r="AD235" s="30">
        <v>384360</v>
      </c>
      <c r="AE235" s="29"/>
      <c r="AF235" s="29"/>
      <c r="AG235" s="29"/>
      <c r="AH235" s="30">
        <v>472941</v>
      </c>
      <c r="AI235" s="29"/>
      <c r="AJ235" s="29"/>
      <c r="AK235" s="29"/>
      <c r="AL235" s="30">
        <v>684711</v>
      </c>
    </row>
    <row r="238" spans="1:38" x14ac:dyDescent="0.2">
      <c r="A238" s="9" t="s">
        <v>94</v>
      </c>
      <c r="B238" s="10" t="s">
        <v>44</v>
      </c>
      <c r="C238" s="16"/>
      <c r="D238" s="16"/>
      <c r="E238" s="16"/>
      <c r="F238" s="17">
        <v>509722.12599999999</v>
      </c>
      <c r="G238" s="16"/>
      <c r="H238" s="16"/>
      <c r="I238" s="16"/>
      <c r="J238" s="17">
        <v>522468.01192551001</v>
      </c>
      <c r="K238" s="16"/>
      <c r="L238" s="16"/>
      <c r="M238" s="16"/>
      <c r="N238" s="17">
        <v>610865.41961097007</v>
      </c>
      <c r="O238" s="16"/>
      <c r="P238" s="16"/>
      <c r="Q238" s="16"/>
      <c r="R238" s="17">
        <v>658485.52467759</v>
      </c>
      <c r="S238" s="16"/>
      <c r="T238" s="16"/>
      <c r="U238" s="16"/>
      <c r="V238" s="17">
        <v>796973.85236531985</v>
      </c>
      <c r="W238" s="16"/>
      <c r="X238" s="16"/>
      <c r="Y238" s="16"/>
      <c r="Z238" s="17">
        <v>893218.78022836009</v>
      </c>
      <c r="AA238" s="16"/>
      <c r="AB238" s="16"/>
      <c r="AC238" s="16"/>
      <c r="AD238" s="17">
        <v>1044382.85031867</v>
      </c>
      <c r="AE238" s="16"/>
      <c r="AF238" s="16"/>
      <c r="AG238" s="16"/>
      <c r="AH238" s="17">
        <v>2148809.8721785597</v>
      </c>
      <c r="AI238" s="16"/>
      <c r="AJ238" s="16"/>
      <c r="AK238" s="16"/>
      <c r="AL238" s="17">
        <v>2548719.4260199098</v>
      </c>
    </row>
    <row r="239" spans="1:38" x14ac:dyDescent="0.2">
      <c r="A239" s="18" t="s">
        <v>45</v>
      </c>
      <c r="B239" s="19" t="s">
        <v>44</v>
      </c>
      <c r="C239" s="20"/>
      <c r="D239" s="20"/>
      <c r="E239" s="20"/>
      <c r="F239" s="21">
        <v>36486.836000000003</v>
      </c>
      <c r="G239" s="20"/>
      <c r="H239" s="20"/>
      <c r="I239" s="20"/>
      <c r="J239" s="21">
        <v>67070.481612999996</v>
      </c>
      <c r="K239" s="20"/>
      <c r="L239" s="20"/>
      <c r="M239" s="20"/>
      <c r="N239" s="21">
        <v>133402.65736426</v>
      </c>
      <c r="O239" s="20"/>
      <c r="P239" s="20"/>
      <c r="Q239" s="20"/>
      <c r="R239" s="21">
        <v>204495.68687437</v>
      </c>
      <c r="S239" s="20"/>
      <c r="T239" s="20"/>
      <c r="U239" s="20"/>
      <c r="V239" s="21">
        <v>288328.59774344997</v>
      </c>
      <c r="W239" s="20"/>
      <c r="X239" s="20"/>
      <c r="Y239" s="20"/>
      <c r="Z239" s="21">
        <v>352200.50776141003</v>
      </c>
      <c r="AA239" s="20"/>
      <c r="AB239" s="20"/>
      <c r="AC239" s="20"/>
      <c r="AD239" s="21">
        <v>469130.99465816002</v>
      </c>
      <c r="AE239" s="20"/>
      <c r="AF239" s="20"/>
      <c r="AG239" s="20"/>
      <c r="AH239" s="21">
        <v>1412059.0321161302</v>
      </c>
      <c r="AI239" s="20"/>
      <c r="AJ239" s="20"/>
      <c r="AK239" s="20"/>
      <c r="AL239" s="21">
        <v>1662755.2973172895</v>
      </c>
    </row>
    <row r="240" spans="1:38" x14ac:dyDescent="0.2">
      <c r="A240" s="13"/>
      <c r="B240" s="6"/>
      <c r="C240" s="22"/>
      <c r="D240" s="22"/>
      <c r="E240" s="22"/>
      <c r="F240" s="23"/>
      <c r="G240" s="22"/>
      <c r="H240" s="22"/>
      <c r="I240" s="22"/>
      <c r="J240" s="23"/>
      <c r="K240" s="22"/>
      <c r="L240" s="24"/>
      <c r="M240" s="24"/>
      <c r="N240" s="25"/>
      <c r="O240" s="24"/>
      <c r="P240" s="24"/>
      <c r="Q240" s="24"/>
      <c r="R240" s="25"/>
      <c r="S240" s="24"/>
      <c r="T240" s="22"/>
      <c r="U240" s="22"/>
      <c r="V240" s="25"/>
      <c r="W240" s="24"/>
      <c r="X240" s="24"/>
      <c r="Y240" s="24"/>
      <c r="Z240" s="25"/>
      <c r="AA240" s="24"/>
      <c r="AB240" s="24"/>
      <c r="AC240" s="24"/>
      <c r="AD240" s="25"/>
      <c r="AE240" s="24"/>
      <c r="AF240" s="24"/>
      <c r="AG240" s="24"/>
      <c r="AH240" s="25"/>
      <c r="AI240" s="24"/>
      <c r="AJ240" s="24"/>
      <c r="AK240" s="24"/>
      <c r="AL240" s="25"/>
    </row>
    <row r="241" spans="1:38" x14ac:dyDescent="0.2">
      <c r="A241" s="13"/>
      <c r="B241" s="6"/>
      <c r="C241" s="22"/>
      <c r="D241" s="22"/>
      <c r="E241" s="22"/>
      <c r="F241" s="23"/>
      <c r="G241" s="22"/>
      <c r="H241" s="22"/>
      <c r="I241" s="22"/>
      <c r="J241" s="23"/>
      <c r="K241" s="22"/>
      <c r="L241" s="22"/>
      <c r="M241" s="22"/>
      <c r="N241" s="23"/>
      <c r="O241" s="22"/>
      <c r="P241" s="22"/>
      <c r="Q241" s="22"/>
      <c r="R241" s="23"/>
      <c r="S241" s="22"/>
      <c r="T241" s="22"/>
      <c r="U241" s="22"/>
      <c r="V241" s="25"/>
      <c r="W241" s="24"/>
      <c r="X241" s="24"/>
      <c r="Y241" s="24"/>
      <c r="Z241" s="25"/>
      <c r="AA241" s="24"/>
      <c r="AB241" s="24"/>
      <c r="AC241" s="24"/>
      <c r="AD241" s="25"/>
      <c r="AE241" s="24"/>
      <c r="AF241" s="24"/>
      <c r="AG241" s="24"/>
      <c r="AH241" s="25"/>
      <c r="AI241" s="24"/>
      <c r="AJ241" s="24"/>
      <c r="AK241" s="24"/>
      <c r="AL241" s="25"/>
    </row>
    <row r="242" spans="1:38" x14ac:dyDescent="0.2">
      <c r="A242" s="13"/>
      <c r="B242" s="6"/>
      <c r="C242" s="22"/>
      <c r="D242" s="22"/>
      <c r="E242" s="22"/>
      <c r="F242" s="23"/>
      <c r="G242" s="22"/>
      <c r="H242" s="22"/>
      <c r="I242" s="22"/>
      <c r="J242" s="23"/>
      <c r="K242" s="22"/>
      <c r="L242" s="22"/>
      <c r="M242" s="22"/>
      <c r="N242" s="23"/>
      <c r="O242" s="22"/>
      <c r="P242" s="22"/>
      <c r="Q242" s="22"/>
      <c r="R242" s="23"/>
      <c r="S242" s="22"/>
      <c r="T242" s="22"/>
      <c r="U242" s="22"/>
      <c r="V242" s="25"/>
      <c r="W242" s="24"/>
      <c r="X242" s="24"/>
      <c r="Y242" s="24"/>
      <c r="Z242" s="25"/>
      <c r="AA242" s="24"/>
      <c r="AB242" s="24"/>
      <c r="AC242" s="24"/>
      <c r="AD242" s="25"/>
      <c r="AE242" s="24"/>
      <c r="AF242" s="24"/>
      <c r="AG242" s="24"/>
      <c r="AH242" s="25"/>
      <c r="AI242" s="24"/>
      <c r="AJ242" s="24"/>
      <c r="AK242" s="24"/>
      <c r="AL242" s="25"/>
    </row>
    <row r="243" spans="1:38" x14ac:dyDescent="0.2">
      <c r="A243" s="13"/>
      <c r="B243" s="6"/>
      <c r="C243" s="22"/>
      <c r="D243" s="22"/>
      <c r="E243" s="22"/>
      <c r="F243" s="23"/>
      <c r="G243" s="22"/>
      <c r="H243" s="22"/>
      <c r="I243" s="22"/>
      <c r="J243" s="23"/>
      <c r="K243" s="22"/>
      <c r="L243" s="22"/>
      <c r="M243" s="22"/>
      <c r="N243" s="23"/>
      <c r="O243" s="22"/>
      <c r="P243" s="22"/>
      <c r="Q243" s="22"/>
      <c r="R243" s="23"/>
      <c r="S243" s="22"/>
      <c r="T243" s="22"/>
      <c r="U243" s="22"/>
      <c r="V243" s="25"/>
      <c r="W243" s="24"/>
      <c r="X243" s="24"/>
      <c r="Y243" s="24"/>
      <c r="Z243" s="25"/>
      <c r="AA243" s="24"/>
      <c r="AB243" s="24"/>
      <c r="AC243" s="24"/>
      <c r="AD243" s="25"/>
      <c r="AE243" s="24"/>
      <c r="AF243" s="24"/>
      <c r="AG243" s="24"/>
      <c r="AH243" s="25"/>
      <c r="AI243" s="24"/>
      <c r="AJ243" s="24"/>
      <c r="AK243" s="24"/>
      <c r="AL243" s="25"/>
    </row>
    <row r="244" spans="1:38" x14ac:dyDescent="0.2">
      <c r="A244" s="13"/>
      <c r="B244" s="6"/>
      <c r="C244" s="22"/>
      <c r="D244" s="22"/>
      <c r="E244" s="22"/>
      <c r="F244" s="23"/>
      <c r="G244" s="22"/>
      <c r="H244" s="22"/>
      <c r="I244" s="22"/>
      <c r="J244" s="23"/>
      <c r="K244" s="22"/>
      <c r="L244" s="22"/>
      <c r="M244" s="22"/>
      <c r="N244" s="23"/>
      <c r="O244" s="22"/>
      <c r="P244" s="22"/>
      <c r="Q244" s="22"/>
      <c r="R244" s="23"/>
      <c r="S244" s="22"/>
      <c r="T244" s="22"/>
      <c r="U244" s="22"/>
      <c r="V244" s="25"/>
      <c r="W244" s="24"/>
      <c r="X244" s="24"/>
      <c r="Y244" s="24"/>
      <c r="Z244" s="25"/>
      <c r="AA244" s="24"/>
      <c r="AB244" s="24"/>
      <c r="AC244" s="24"/>
      <c r="AD244" s="25"/>
      <c r="AE244" s="24"/>
      <c r="AF244" s="24"/>
      <c r="AG244" s="24"/>
      <c r="AH244" s="25"/>
      <c r="AI244" s="24"/>
      <c r="AJ244" s="24"/>
      <c r="AK244" s="24"/>
      <c r="AL244" s="25"/>
    </row>
    <row r="245" spans="1:38" x14ac:dyDescent="0.2">
      <c r="A245" s="13"/>
      <c r="B245" s="6"/>
      <c r="C245" s="24"/>
      <c r="D245" s="24"/>
      <c r="E245" s="24"/>
      <c r="F245" s="25"/>
      <c r="G245" s="24"/>
      <c r="H245" s="24"/>
      <c r="I245" s="24"/>
      <c r="J245" s="25"/>
      <c r="K245" s="24"/>
      <c r="L245" s="24"/>
      <c r="M245" s="24"/>
      <c r="N245" s="25"/>
      <c r="O245" s="24"/>
      <c r="P245" s="24"/>
      <c r="Q245" s="24"/>
      <c r="R245" s="25"/>
      <c r="S245" s="24"/>
      <c r="T245" s="24"/>
      <c r="U245" s="24"/>
      <c r="V245" s="25"/>
      <c r="W245" s="24"/>
      <c r="X245" s="24"/>
      <c r="Y245" s="24"/>
      <c r="Z245" s="25"/>
      <c r="AA245" s="24"/>
      <c r="AB245" s="24"/>
      <c r="AC245" s="24"/>
      <c r="AD245" s="25"/>
      <c r="AE245" s="24"/>
      <c r="AF245" s="24"/>
      <c r="AG245" s="24"/>
      <c r="AH245" s="25"/>
      <c r="AI245" s="24"/>
      <c r="AJ245" s="24"/>
      <c r="AK245" s="24"/>
      <c r="AL245" s="25"/>
    </row>
    <row r="246" spans="1:38" x14ac:dyDescent="0.2">
      <c r="A246" s="18" t="s">
        <v>53</v>
      </c>
      <c r="B246" s="19" t="s">
        <v>44</v>
      </c>
      <c r="C246" s="20"/>
      <c r="D246" s="20"/>
      <c r="E246" s="20"/>
      <c r="F246" s="21">
        <v>14367.296</v>
      </c>
      <c r="G246" s="20"/>
      <c r="H246" s="20"/>
      <c r="I246" s="20"/>
      <c r="J246" s="21">
        <v>16403.952648930001</v>
      </c>
      <c r="K246" s="20"/>
      <c r="L246" s="20"/>
      <c r="M246" s="20"/>
      <c r="N246" s="21">
        <v>17289.314949600001</v>
      </c>
      <c r="O246" s="20"/>
      <c r="P246" s="20"/>
      <c r="Q246" s="20"/>
      <c r="R246" s="21">
        <v>19228.290113820003</v>
      </c>
      <c r="S246" s="20"/>
      <c r="T246" s="20"/>
      <c r="U246" s="20"/>
      <c r="V246" s="21">
        <v>26928.83608958</v>
      </c>
      <c r="W246" s="20"/>
      <c r="X246" s="20"/>
      <c r="Y246" s="20"/>
      <c r="Z246" s="21">
        <v>33092.666101199997</v>
      </c>
      <c r="AA246" s="20"/>
      <c r="AB246" s="20"/>
      <c r="AC246" s="20"/>
      <c r="AD246" s="21">
        <v>31866.631376759997</v>
      </c>
      <c r="AE246" s="20"/>
      <c r="AF246" s="20"/>
      <c r="AG246" s="20"/>
      <c r="AH246" s="21">
        <v>36260.645378679998</v>
      </c>
      <c r="AI246" s="20"/>
      <c r="AJ246" s="20"/>
      <c r="AK246" s="20"/>
      <c r="AL246" s="21">
        <v>37031.358104999999</v>
      </c>
    </row>
    <row r="247" spans="1:38" x14ac:dyDescent="0.2">
      <c r="A247" s="18" t="s">
        <v>54</v>
      </c>
      <c r="B247" s="19" t="s">
        <v>44</v>
      </c>
      <c r="C247" s="20"/>
      <c r="D247" s="20"/>
      <c r="E247" s="20"/>
      <c r="F247" s="21">
        <v>105811.23699999999</v>
      </c>
      <c r="G247" s="20"/>
      <c r="H247" s="20"/>
      <c r="I247" s="20"/>
      <c r="J247" s="21">
        <v>111930.61414372</v>
      </c>
      <c r="K247" s="20"/>
      <c r="L247" s="20"/>
      <c r="M247" s="20"/>
      <c r="N247" s="21">
        <v>126495.45604139</v>
      </c>
      <c r="O247" s="20"/>
      <c r="P247" s="20"/>
      <c r="Q247" s="20"/>
      <c r="R247" s="21">
        <v>118206.69381548</v>
      </c>
      <c r="S247" s="20"/>
      <c r="T247" s="20"/>
      <c r="U247" s="20"/>
      <c r="V247" s="21">
        <v>142205.34552638998</v>
      </c>
      <c r="W247" s="20"/>
      <c r="X247" s="20"/>
      <c r="Y247" s="20"/>
      <c r="Z247" s="21">
        <v>156051.34303102997</v>
      </c>
      <c r="AA247" s="20"/>
      <c r="AB247" s="20"/>
      <c r="AC247" s="20"/>
      <c r="AD247" s="21">
        <v>169137.1561349</v>
      </c>
      <c r="AE247" s="20"/>
      <c r="AF247" s="20"/>
      <c r="AG247" s="20"/>
      <c r="AH247" s="21">
        <v>191886.12239638998</v>
      </c>
      <c r="AI247" s="20"/>
      <c r="AJ247" s="20"/>
      <c r="AK247" s="20"/>
      <c r="AL247" s="21">
        <v>233417.81503705002</v>
      </c>
    </row>
    <row r="248" spans="1:38" x14ac:dyDescent="0.2">
      <c r="A248" s="18" t="s">
        <v>55</v>
      </c>
      <c r="B248" s="19" t="s">
        <v>44</v>
      </c>
      <c r="C248" s="20"/>
      <c r="D248" s="20"/>
      <c r="E248" s="20"/>
      <c r="F248" s="21">
        <v>83343.914999999994</v>
      </c>
      <c r="G248" s="20"/>
      <c r="H248" s="20"/>
      <c r="I248" s="20"/>
      <c r="J248" s="21">
        <v>83254.170915580005</v>
      </c>
      <c r="K248" s="20"/>
      <c r="L248" s="20"/>
      <c r="M248" s="20"/>
      <c r="N248" s="21">
        <v>97207.977328720008</v>
      </c>
      <c r="O248" s="20"/>
      <c r="P248" s="20"/>
      <c r="Q248" s="20"/>
      <c r="R248" s="21">
        <v>97983.359858419994</v>
      </c>
      <c r="S248" s="20"/>
      <c r="T248" s="20"/>
      <c r="U248" s="20"/>
      <c r="V248" s="21">
        <v>109260.95090708999</v>
      </c>
      <c r="W248" s="20"/>
      <c r="X248" s="20"/>
      <c r="Y248" s="20"/>
      <c r="Z248" s="21">
        <v>121548.73365151002</v>
      </c>
      <c r="AA248" s="20"/>
      <c r="AB248" s="20"/>
      <c r="AC248" s="20"/>
      <c r="AD248" s="21">
        <v>129503.43674003001</v>
      </c>
      <c r="AE248" s="20"/>
      <c r="AF248" s="20"/>
      <c r="AG248" s="20"/>
      <c r="AH248" s="21">
        <v>165368.67022684999</v>
      </c>
      <c r="AI248" s="20"/>
      <c r="AJ248" s="20"/>
      <c r="AK248" s="20"/>
      <c r="AL248" s="21">
        <v>217486.60858724001</v>
      </c>
    </row>
    <row r="249" spans="1:38" x14ac:dyDescent="0.2">
      <c r="A249" s="18" t="s">
        <v>56</v>
      </c>
      <c r="B249" s="19" t="s">
        <v>44</v>
      </c>
      <c r="C249" s="20"/>
      <c r="D249" s="20"/>
      <c r="E249" s="20"/>
      <c r="F249" s="21">
        <v>36598.288999999997</v>
      </c>
      <c r="G249" s="20"/>
      <c r="H249" s="20"/>
      <c r="I249" s="20"/>
      <c r="J249" s="21">
        <v>49322.247793440001</v>
      </c>
      <c r="K249" s="20"/>
      <c r="L249" s="20"/>
      <c r="M249" s="20"/>
      <c r="N249" s="21">
        <v>28891.0271097</v>
      </c>
      <c r="O249" s="20"/>
      <c r="P249" s="20"/>
      <c r="Q249" s="20"/>
      <c r="R249" s="21">
        <v>22292.81204484</v>
      </c>
      <c r="S249" s="20"/>
      <c r="T249" s="20"/>
      <c r="U249" s="20"/>
      <c r="V249" s="21">
        <v>22002.961541080003</v>
      </c>
      <c r="W249" s="20"/>
      <c r="X249" s="20"/>
      <c r="Y249" s="20"/>
      <c r="Z249" s="21">
        <v>30679.097283370003</v>
      </c>
      <c r="AA249" s="20"/>
      <c r="AB249" s="20"/>
      <c r="AC249" s="20"/>
      <c r="AD249" s="21">
        <v>30082.413087230001</v>
      </c>
      <c r="AE249" s="20"/>
      <c r="AF249" s="20"/>
      <c r="AG249" s="20"/>
      <c r="AH249" s="21">
        <v>65009.6738129</v>
      </c>
      <c r="AI249" s="20"/>
      <c r="AJ249" s="20"/>
      <c r="AK249" s="20"/>
      <c r="AL249" s="21">
        <v>65461.492677570001</v>
      </c>
    </row>
    <row r="250" spans="1:38" x14ac:dyDescent="0.2">
      <c r="A250" s="18" t="s">
        <v>57</v>
      </c>
      <c r="B250" s="19" t="s">
        <v>44</v>
      </c>
      <c r="C250" s="20"/>
      <c r="D250" s="20"/>
      <c r="E250" s="20"/>
      <c r="F250" s="21">
        <v>8233.4969999999994</v>
      </c>
      <c r="G250" s="20"/>
      <c r="H250" s="20"/>
      <c r="I250" s="20"/>
      <c r="J250" s="21">
        <v>8964.4475046999996</v>
      </c>
      <c r="K250" s="20"/>
      <c r="L250" s="20"/>
      <c r="M250" s="20"/>
      <c r="N250" s="21">
        <v>8840.2089906799993</v>
      </c>
      <c r="O250" s="20"/>
      <c r="P250" s="20"/>
      <c r="Q250" s="20"/>
      <c r="R250" s="21">
        <v>8651.6359969799996</v>
      </c>
      <c r="S250" s="20"/>
      <c r="T250" s="20"/>
      <c r="U250" s="20"/>
      <c r="V250" s="21">
        <v>9084.8180861199999</v>
      </c>
      <c r="W250" s="20"/>
      <c r="X250" s="20"/>
      <c r="Y250" s="20"/>
      <c r="Z250" s="21">
        <v>10363.95804707</v>
      </c>
      <c r="AA250" s="20"/>
      <c r="AB250" s="20"/>
      <c r="AC250" s="20"/>
      <c r="AD250" s="21">
        <v>10862.114572119999</v>
      </c>
      <c r="AE250" s="20"/>
      <c r="AF250" s="20"/>
      <c r="AG250" s="20"/>
      <c r="AH250" s="21">
        <v>17922.90986666</v>
      </c>
      <c r="AI250" s="20"/>
      <c r="AJ250" s="20"/>
      <c r="AK250" s="20"/>
      <c r="AL250" s="21">
        <v>15606.98263565</v>
      </c>
    </row>
    <row r="251" spans="1:38" x14ac:dyDescent="0.2">
      <c r="A251" s="18" t="s">
        <v>58</v>
      </c>
      <c r="B251" s="19" t="s">
        <v>44</v>
      </c>
      <c r="C251" s="20"/>
      <c r="D251" s="20"/>
      <c r="E251" s="20"/>
      <c r="F251" s="21">
        <v>175516.25200000001</v>
      </c>
      <c r="G251" s="20"/>
      <c r="H251" s="20"/>
      <c r="I251" s="20"/>
      <c r="J251" s="21">
        <v>137901.72481086999</v>
      </c>
      <c r="K251" s="20"/>
      <c r="L251" s="20"/>
      <c r="M251" s="20"/>
      <c r="N251" s="21">
        <v>142379.15016813</v>
      </c>
      <c r="O251" s="20"/>
      <c r="P251" s="20"/>
      <c r="Q251" s="20"/>
      <c r="R251" s="21">
        <v>137371.39752917</v>
      </c>
      <c r="S251" s="20"/>
      <c r="T251" s="20"/>
      <c r="U251" s="20"/>
      <c r="V251" s="21">
        <v>143555.73235501</v>
      </c>
      <c r="W251" s="20"/>
      <c r="X251" s="20"/>
      <c r="Y251" s="20"/>
      <c r="Z251" s="21">
        <v>159834.13138627002</v>
      </c>
      <c r="AA251" s="20"/>
      <c r="AB251" s="20"/>
      <c r="AC251" s="20"/>
      <c r="AD251" s="21">
        <v>161592.19856138001</v>
      </c>
      <c r="AE251" s="20"/>
      <c r="AF251" s="20"/>
      <c r="AG251" s="20"/>
      <c r="AH251" s="21">
        <v>202101.40253411001</v>
      </c>
      <c r="AI251" s="20"/>
      <c r="AJ251" s="20"/>
      <c r="AK251" s="20"/>
      <c r="AL251" s="21">
        <v>221031.83100130002</v>
      </c>
    </row>
    <row r="252" spans="1:38" x14ac:dyDescent="0.2">
      <c r="A252" s="18" t="s">
        <v>59</v>
      </c>
      <c r="B252" s="19" t="s">
        <v>44</v>
      </c>
      <c r="C252" s="20"/>
      <c r="D252" s="20"/>
      <c r="E252" s="20"/>
      <c r="F252" s="21">
        <v>49364.804000000004</v>
      </c>
      <c r="G252" s="20"/>
      <c r="H252" s="20"/>
      <c r="I252" s="20"/>
      <c r="J252" s="21">
        <v>47620.372495270014</v>
      </c>
      <c r="K252" s="20"/>
      <c r="L252" s="20"/>
      <c r="M252" s="20"/>
      <c r="N252" s="21">
        <v>56359.627658490033</v>
      </c>
      <c r="O252" s="20"/>
      <c r="P252" s="20"/>
      <c r="Q252" s="20"/>
      <c r="R252" s="21">
        <v>50255.648444510036</v>
      </c>
      <c r="S252" s="20"/>
      <c r="T252" s="20"/>
      <c r="U252" s="20"/>
      <c r="V252" s="21">
        <v>55606.610116599913</v>
      </c>
      <c r="W252" s="20"/>
      <c r="X252" s="20"/>
      <c r="Y252" s="20"/>
      <c r="Z252" s="21">
        <v>29448.342966500117</v>
      </c>
      <c r="AA252" s="20"/>
      <c r="AB252" s="20"/>
      <c r="AC252" s="20"/>
      <c r="AD252" s="21">
        <v>42207.905188090052</v>
      </c>
      <c r="AE252" s="20"/>
      <c r="AF252" s="20"/>
      <c r="AG252" s="20"/>
      <c r="AH252" s="21">
        <v>58201.415846839576</v>
      </c>
      <c r="AI252" s="20"/>
      <c r="AJ252" s="20"/>
      <c r="AK252" s="20"/>
      <c r="AL252" s="21">
        <v>95928.040658810234</v>
      </c>
    </row>
  </sheetData>
  <mergeCells count="21">
    <mergeCell ref="U78:U79"/>
    <mergeCell ref="B163:S163"/>
    <mergeCell ref="A184:B184"/>
    <mergeCell ref="O78:O79"/>
    <mergeCell ref="P78:P79"/>
    <mergeCell ref="Q78:Q79"/>
    <mergeCell ref="R78:R79"/>
    <mergeCell ref="S78:S79"/>
    <mergeCell ref="T78:T79"/>
    <mergeCell ref="I78:I79"/>
    <mergeCell ref="J78:J79"/>
    <mergeCell ref="K78:K79"/>
    <mergeCell ref="L78:L79"/>
    <mergeCell ref="M78:M79"/>
    <mergeCell ref="N78:N79"/>
    <mergeCell ref="C78:C79"/>
    <mergeCell ref="D78:D79"/>
    <mergeCell ref="E78:E79"/>
    <mergeCell ref="F78:F79"/>
    <mergeCell ref="G78:G79"/>
    <mergeCell ref="H78:H7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Объем</vt:lpstr>
      <vt:lpstr>Рентабельность</vt:lpstr>
      <vt:lpstr>Структура страховых премий</vt:lpstr>
      <vt:lpstr>Страхования (Кол-во премий)</vt:lpstr>
      <vt:lpstr>Страхования (Сумма премий)</vt:lpstr>
      <vt:lpstr>Страхования (Кол-во выплат)</vt:lpstr>
      <vt:lpstr>Страхования (Сумма выплат)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Федотов</dc:creator>
  <cp:lastModifiedBy>Данил Федотов</cp:lastModifiedBy>
  <dcterms:created xsi:type="dcterms:W3CDTF">2026-05-31T08:02:51Z</dcterms:created>
  <dcterms:modified xsi:type="dcterms:W3CDTF">2026-05-31T15:12:01Z</dcterms:modified>
</cp:coreProperties>
</file>